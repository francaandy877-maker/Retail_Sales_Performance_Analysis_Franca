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24226"/>
  <mc:AlternateContent xmlns:mc="http://schemas.openxmlformats.org/markup-compatibility/2006">
    <mc:Choice Requires="x15">
      <x15ac:absPath xmlns:x15ac="http://schemas.microsoft.com/office/spreadsheetml/2010/11/ac" url="C:\Users\LATITUDE 7290\Desktop\"/>
    </mc:Choice>
  </mc:AlternateContent>
  <xr:revisionPtr revIDLastSave="0" documentId="8_{3DAC9AA6-94BF-4251-B2DD-F71E5DEB4B87}" xr6:coauthVersionLast="47" xr6:coauthVersionMax="47" xr10:uidLastSave="{00000000-0000-0000-0000-000000000000}"/>
  <bookViews>
    <workbookView xWindow="-120" yWindow="-120" windowWidth="20730" windowHeight="11040" firstSheet="2" activeTab="7" xr2:uid="{00000000-000D-0000-FFFF-FFFF00000000}"/>
  </bookViews>
  <sheets>
    <sheet name="Sheet1" sheetId="1" r:id="rId1"/>
    <sheet name="chat1" sheetId="15" r:id="rId2"/>
    <sheet name="chat2" sheetId="17" r:id="rId3"/>
    <sheet name="chat3" sheetId="18" r:id="rId4"/>
    <sheet name="chat4" sheetId="19" r:id="rId5"/>
    <sheet name="main " sheetId="7" r:id="rId6"/>
    <sheet name="DASHBOARD" sheetId="16" r:id="rId7"/>
    <sheet name="ADS.CONST." sheetId="21" r:id="rId8"/>
  </sheets>
  <definedNames>
    <definedName name="ExternalData_1" localSheetId="5" hidden="1">'main '!$A$1:$J$106</definedName>
    <definedName name="Slicer_Estimated_cost__NGN">#N/A</definedName>
    <definedName name="Slicer_Project_city">#N/A</definedName>
    <definedName name="Slicer_Project_type">#N/A</definedName>
    <definedName name="Slicer_Status">#N/A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C9" i="19" l="1"/>
  <c r="C10"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7F0936-6DF0-4710-8F02-DC5337267D26}"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 id="2" xr16:uid="{EB766CA4-0589-40E8-8228-3A763E88E164}" keepAlive="1" name="Query - Sheet1 (2)" description="Connection to the 'Sheet1 (2)' query in the workbook." type="5" refreshedVersion="7" background="1" saveData="1">
    <dbPr connection="Provider=Microsoft.Mashup.OleDb.1;Data Source=$Workbook$;Location=&quot;Sheet1 (2)&quot;;Extended Properties=&quot;&quot;" command="SELECT * FROM [Sheet1 (2)]"/>
  </connection>
  <connection id="3" xr16:uid="{09164E55-C4DD-46C6-9496-AB5CB09382E2}" keepAlive="1" name="Query - Sheet1 (3)" description="Connection to the 'Sheet1 (3)' query in the workbook." type="5" refreshedVersion="7" background="1" saveData="1">
    <dbPr connection="Provider=Microsoft.Mashup.OleDb.1;Data Source=$Workbook$;Location=&quot;Sheet1 (3)&quot;;Extended Properties=&quot;&quot;" command="SELECT * FROM [Sheet1 (3)]"/>
  </connection>
  <connection id="4" xr16:uid="{D39BBC5F-91A3-4D51-9158-07F7E7EBAF07}" keepAlive="1" name="Query - Sheet1__2" description="Connection to the 'Sheet1__2' query in the workbook." type="5" refreshedVersion="7" background="1" saveData="1">
    <dbPr connection="Provider=Microsoft.Mashup.OleDb.1;Data Source=$Workbook$;Location=Sheet1__2;Extended Properties=&quot;&quot;" command="SELECT * FROM [Sheet1__2]"/>
  </connection>
</connections>
</file>

<file path=xl/sharedStrings.xml><?xml version="1.0" encoding="utf-8"?>
<sst xmlns="http://schemas.openxmlformats.org/spreadsheetml/2006/main" count="1155" uniqueCount="350">
  <si>
    <t>Project ID</t>
  </si>
  <si>
    <t>Project Info</t>
  </si>
  <si>
    <t>Engineer Name</t>
  </si>
  <si>
    <t>Estimated Cost</t>
  </si>
  <si>
    <t>No. of Workers</t>
  </si>
  <si>
    <t>Status</t>
  </si>
  <si>
    <t>Materials Used</t>
  </si>
  <si>
    <t>Lagos|Bridge|4579sqm</t>
  </si>
  <si>
    <t>Enugu|Mall|7127sqm</t>
  </si>
  <si>
    <t>Port Harcourt|Bridge|7199sqm</t>
  </si>
  <si>
    <t>Lagos|Estate|1870sqm</t>
  </si>
  <si>
    <t>Owerri|Estate|6261sqm</t>
  </si>
  <si>
    <t>Lagos|Factory|5173sqm</t>
  </si>
  <si>
    <t>Abuja|Estate|4009sqm</t>
  </si>
  <si>
    <t>Enugu|Estate|8582sqm</t>
  </si>
  <si>
    <t>Owerri|Road|6092sqm</t>
  </si>
  <si>
    <t>Enugu|Factory|4118sqm</t>
  </si>
  <si>
    <t>Port Harcourt|Estate|6616sqm</t>
  </si>
  <si>
    <t>Owerri|Road|2552sqm</t>
  </si>
  <si>
    <t>Port Harcourt|Factory|5062sqm</t>
  </si>
  <si>
    <t>Abuja|Road|4288sqm</t>
  </si>
  <si>
    <t>Port Harcourt|Mall|9549sqm</t>
  </si>
  <si>
    <t>Port Harcourt|Road|5974sqm</t>
  </si>
  <si>
    <t>Enugu|Bridge|3281sqm</t>
  </si>
  <si>
    <t>Port Harcourt|Road|1471sqm</t>
  </si>
  <si>
    <t>Lagos|Mall|6223sqm</t>
  </si>
  <si>
    <t>Owerri|Estate|1832sqm</t>
  </si>
  <si>
    <t>Abuja|Road|2787sqm</t>
  </si>
  <si>
    <t>Port Harcourt|Estate|8407sqm</t>
  </si>
  <si>
    <t>Abuja|Bridge|2713sqm</t>
  </si>
  <si>
    <t>Owerri|Road|9794sqm</t>
  </si>
  <si>
    <t>Owerri|Estate|2733sqm</t>
  </si>
  <si>
    <t>Lagos|Mall|7187sqm</t>
  </si>
  <si>
    <t>Enugu|Estate|9037sqm</t>
  </si>
  <si>
    <t>Owerri|Road|1545sqm</t>
  </si>
  <si>
    <t>Port Harcourt|Bridge|2066sqm</t>
  </si>
  <si>
    <t>Enugu|Road|9706sqm</t>
  </si>
  <si>
    <t>Owerri|Road|5702sqm</t>
  </si>
  <si>
    <t>Lagos|Mall|3907sqm</t>
  </si>
  <si>
    <t>Port Harcourt|Bridge|7765sqm</t>
  </si>
  <si>
    <t>Lagos|Bridge|2375sqm</t>
  </si>
  <si>
    <t>Owerri|Estate|5657sqm</t>
  </si>
  <si>
    <t>Lagos|Mall|5816sqm</t>
  </si>
  <si>
    <t>Owerri|Bridge|7704sqm</t>
  </si>
  <si>
    <t>Enugu|Mall|2544sqm</t>
  </si>
  <si>
    <t>Lagos|Bridge|5710sqm</t>
  </si>
  <si>
    <t>Lagos|Factory|7737sqm</t>
  </si>
  <si>
    <t>Enugu|Bridge|5406sqm</t>
  </si>
  <si>
    <t>Enugu|Road|3967sqm</t>
  </si>
  <si>
    <t>Owerri|Estate|1965sqm</t>
  </si>
  <si>
    <t>Owerri|Estate|3357sqm</t>
  </si>
  <si>
    <t>Lagos|Mall|8662sqm</t>
  </si>
  <si>
    <t>Enugu|Factory|4361sqm</t>
  </si>
  <si>
    <t>Enugu|Factory|8748sqm</t>
  </si>
  <si>
    <t>Enugu|Bridge|5444sqm</t>
  </si>
  <si>
    <t>Lagos|Factory|4652sqm</t>
  </si>
  <si>
    <t>Port Harcourt|Factory|9621sqm</t>
  </si>
  <si>
    <t>Abuja|Road|6659sqm</t>
  </si>
  <si>
    <t>Owerri|Mall|6900sqm</t>
  </si>
  <si>
    <t>Lagos|Estate|2457sqm</t>
  </si>
  <si>
    <t>Enugu|Bridge|8394sqm</t>
  </si>
  <si>
    <t>Abuja|Estate|4582sqm</t>
  </si>
  <si>
    <t>Enugu|Factory|7421sqm</t>
  </si>
  <si>
    <t>Enugu|Estate|1442sqm</t>
  </si>
  <si>
    <t>Enugu|Mall|7391sqm</t>
  </si>
  <si>
    <t>Owerri|Road|3243sqm</t>
  </si>
  <si>
    <t>Lagos|Bridge|1795sqm</t>
  </si>
  <si>
    <t>Owerri|Road|2589sqm</t>
  </si>
  <si>
    <t>Enugu|Estate|6595sqm</t>
  </si>
  <si>
    <t>Enugu|Factory|8418sqm</t>
  </si>
  <si>
    <t>Owerri|Mall|1013sqm</t>
  </si>
  <si>
    <t>Enugu|Bridge|3158sqm</t>
  </si>
  <si>
    <t>Enugu|Road|9165sqm</t>
  </si>
  <si>
    <t>Abuja|Mall|7293sqm</t>
  </si>
  <si>
    <t>Abuja|Estate|5656sqm</t>
  </si>
  <si>
    <t>Enugu|Estate|2889sqm</t>
  </si>
  <si>
    <t>Enugu|Factory|3127sqm</t>
  </si>
  <si>
    <t>Port Harcourt|Bridge|9525sqm</t>
  </si>
  <si>
    <t>Enugu|Factory|4644sqm</t>
  </si>
  <si>
    <t>Port Harcourt|Road|6393sqm</t>
  </si>
  <si>
    <t>Abuja|Mall|6623sqm</t>
  </si>
  <si>
    <t>Enugu|Factory|3872sqm</t>
  </si>
  <si>
    <t>Lagos|Mall|5914sqm</t>
  </si>
  <si>
    <t>Owerri|Road|3120sqm</t>
  </si>
  <si>
    <t>Enugu|Factory|8115sqm</t>
  </si>
  <si>
    <t>Enugu|Road|4412sqm</t>
  </si>
  <si>
    <t>Lagos|Road|9251sqm</t>
  </si>
  <si>
    <t>Port Harcourt|Mall|2668sqm</t>
  </si>
  <si>
    <t>Abuja|Road|4266sqm</t>
  </si>
  <si>
    <t>Abuja|Bridge|9236sqm</t>
  </si>
  <si>
    <t>Abuja|Road|1900sqm</t>
  </si>
  <si>
    <t>Enugu|Mall|4970sqm</t>
  </si>
  <si>
    <t>Enugu|Estate|8188sqm</t>
  </si>
  <si>
    <t>Abuja|Bridge|9217sqm</t>
  </si>
  <si>
    <t>Enugu|Estate|2881sqm</t>
  </si>
  <si>
    <t>Abuja|Mall|5334sqm</t>
  </si>
  <si>
    <t>Enugu|Estate|5112sqm</t>
  </si>
  <si>
    <t>Lagos|Road|8677sqm</t>
  </si>
  <si>
    <t>Abuja|Estate|4012sqm</t>
  </si>
  <si>
    <t>Enugu|Bridge|7099sqm</t>
  </si>
  <si>
    <t>Port Harcourt|Bridge|4909sqm</t>
  </si>
  <si>
    <t>Lagos|Bridge|5125sqm</t>
  </si>
  <si>
    <t>Abuja|Mall|4396sqm</t>
  </si>
  <si>
    <t>Abuja|Road|8417sqm</t>
  </si>
  <si>
    <t>Owerri|Factory|7018sqm</t>
  </si>
  <si>
    <t>Abuja|Mall|6860sqm</t>
  </si>
  <si>
    <t>Lagos|Estate|8886sqm</t>
  </si>
  <si>
    <t>Abuja|Estate|7273sqm</t>
  </si>
  <si>
    <t>Owerri|Road|8865sqm</t>
  </si>
  <si>
    <t>Lagos|Mall|3976sqm</t>
  </si>
  <si>
    <t>Owerri|Road|8789sqm</t>
  </si>
  <si>
    <t>Port Harcourt|Bridge|2658sqm</t>
  </si>
  <si>
    <t>Chioma Ude</t>
  </si>
  <si>
    <t>JAMES okoro</t>
  </si>
  <si>
    <t>CHIOMA ude</t>
  </si>
  <si>
    <t>chioma Ude</t>
  </si>
  <si>
    <t>James Okoro</t>
  </si>
  <si>
    <t>james okoro</t>
  </si>
  <si>
    <t>17197855 NGN</t>
  </si>
  <si>
    <t>15246906 NGN</t>
  </si>
  <si>
    <t>Thirty million naira</t>
  </si>
  <si>
    <t>$22,581,140</t>
  </si>
  <si>
    <t>$36,525,142</t>
  </si>
  <si>
    <t>₦38,315,246</t>
  </si>
  <si>
    <t>₦1,560,032</t>
  </si>
  <si>
    <t>₦28,968,682</t>
  </si>
  <si>
    <t>$40,187,222</t>
  </si>
  <si>
    <t>₦12,817,764</t>
  </si>
  <si>
    <t>$49,715,790</t>
  </si>
  <si>
    <t>₦34,804,492</t>
  </si>
  <si>
    <t>₦11,627,279</t>
  </si>
  <si>
    <t>₦14,179,399</t>
  </si>
  <si>
    <t>₦40,203,991</t>
  </si>
  <si>
    <t>₦10,906,873</t>
  </si>
  <si>
    <t>21734730 NGN</t>
  </si>
  <si>
    <t>16527672 NGN</t>
  </si>
  <si>
    <t>$11,022,956</t>
  </si>
  <si>
    <t>$47,094,916</t>
  </si>
  <si>
    <t>$18,940,168</t>
  </si>
  <si>
    <t>$19,243,847</t>
  </si>
  <si>
    <t>$13,953,034</t>
  </si>
  <si>
    <t>29532457 NGN</t>
  </si>
  <si>
    <t>₦11,542,973</t>
  </si>
  <si>
    <t>19469496 NGN</t>
  </si>
  <si>
    <t>₦25,779,106</t>
  </si>
  <si>
    <t>4010932 NGN</t>
  </si>
  <si>
    <t>₦38,295,845</t>
  </si>
  <si>
    <t>₦36,184,408</t>
  </si>
  <si>
    <t>$9,497,128</t>
  </si>
  <si>
    <t>₦40,926,474</t>
  </si>
  <si>
    <t>43158562 NGN</t>
  </si>
  <si>
    <t>36831445 NGN</t>
  </si>
  <si>
    <t>39760465 NGN</t>
  </si>
  <si>
    <t>$17,413,596</t>
  </si>
  <si>
    <t>₦34,869,579</t>
  </si>
  <si>
    <t>₦9,032,452</t>
  </si>
  <si>
    <t>₦24,634,578</t>
  </si>
  <si>
    <t>₦23,422,412</t>
  </si>
  <si>
    <t>27357339 NGN</t>
  </si>
  <si>
    <t>$29,339,203</t>
  </si>
  <si>
    <t>39529521 NGN</t>
  </si>
  <si>
    <t>13493776 NGN</t>
  </si>
  <si>
    <t>₦1,898,632</t>
  </si>
  <si>
    <t>₦2,593,362</t>
  </si>
  <si>
    <t>35268369 NGN</t>
  </si>
  <si>
    <t>7279940 NGN</t>
  </si>
  <si>
    <t>33027163 NGN</t>
  </si>
  <si>
    <t>₦19,816,266</t>
  </si>
  <si>
    <t>15904113 NGN</t>
  </si>
  <si>
    <t>$14,354,550</t>
  </si>
  <si>
    <t>₦37,209,471</t>
  </si>
  <si>
    <t>₦5,506,785</t>
  </si>
  <si>
    <t>3773685 NGN</t>
  </si>
  <si>
    <t>39664617 NGN</t>
  </si>
  <si>
    <t>₦44,020,799</t>
  </si>
  <si>
    <t>22110131 NGN</t>
  </si>
  <si>
    <t>$46,923,714</t>
  </si>
  <si>
    <t>$45,521,478</t>
  </si>
  <si>
    <t>$42,540,499</t>
  </si>
  <si>
    <t>$40,306,138</t>
  </si>
  <si>
    <t>19</t>
  </si>
  <si>
    <t>172</t>
  </si>
  <si>
    <t>01</t>
  </si>
  <si>
    <t>fifty</t>
  </si>
  <si>
    <t>111</t>
  </si>
  <si>
    <t>02</t>
  </si>
  <si>
    <t>one hundred</t>
  </si>
  <si>
    <t>86</t>
  </si>
  <si>
    <t>07</t>
  </si>
  <si>
    <t>83</t>
  </si>
  <si>
    <t>107</t>
  </si>
  <si>
    <t>05</t>
  </si>
  <si>
    <t>150</t>
  </si>
  <si>
    <t>10</t>
  </si>
  <si>
    <t>74</t>
  </si>
  <si>
    <t>25</t>
  </si>
  <si>
    <t>06</t>
  </si>
  <si>
    <t>135</t>
  </si>
  <si>
    <t>105</t>
  </si>
  <si>
    <t>196</t>
  </si>
  <si>
    <t>08</t>
  </si>
  <si>
    <t>03</t>
  </si>
  <si>
    <t>46</t>
  </si>
  <si>
    <t>93</t>
  </si>
  <si>
    <t>101</t>
  </si>
  <si>
    <t>161</t>
  </si>
  <si>
    <t>49</t>
  </si>
  <si>
    <t>09</t>
  </si>
  <si>
    <t>117</t>
  </si>
  <si>
    <t>in Progress</t>
  </si>
  <si>
    <t xml:space="preserve">completed </t>
  </si>
  <si>
    <t>IN PROGRESS</t>
  </si>
  <si>
    <t>cOmpleted</t>
  </si>
  <si>
    <t>Completed</t>
  </si>
  <si>
    <t>In progress</t>
  </si>
  <si>
    <t>Steel - 487 bags</t>
  </si>
  <si>
    <t>Wood - 24 tons</t>
  </si>
  <si>
    <t>Gravel - 24 tons</t>
  </si>
  <si>
    <t>Cement - 679 kg</t>
  </si>
  <si>
    <t>Wood - 365 bags</t>
  </si>
  <si>
    <t>Steel - 394 kg</t>
  </si>
  <si>
    <t>Wood - 877 kg</t>
  </si>
  <si>
    <t>Cement - 17 tons</t>
  </si>
  <si>
    <t>Gravel - 491 kg</t>
  </si>
  <si>
    <t>Wood - 865 kg</t>
  </si>
  <si>
    <t>Wood - 335 bags</t>
  </si>
  <si>
    <t>Gravel - 117 bags</t>
  </si>
  <si>
    <t>Iron Rod - 603 kg</t>
  </si>
  <si>
    <t>Iron Rod - 223 kg</t>
  </si>
  <si>
    <t>Steel - 124 bags</t>
  </si>
  <si>
    <t>Gravel - 379 bags</t>
  </si>
  <si>
    <t>Sand - 279 bags</t>
  </si>
  <si>
    <t>Cement - 27 tons</t>
  </si>
  <si>
    <t>Steel - 298 bags</t>
  </si>
  <si>
    <t>Gravel - 42 tons</t>
  </si>
  <si>
    <t>Iron Rod - 455 kg</t>
  </si>
  <si>
    <t>Iron Rod - 5 tons</t>
  </si>
  <si>
    <t>Wood - 30 tons</t>
  </si>
  <si>
    <t>Steel - 118 bags</t>
  </si>
  <si>
    <t>Cement - 122 bags</t>
  </si>
  <si>
    <t>Steel - 498 bags</t>
  </si>
  <si>
    <t>Wood - 162 kg</t>
  </si>
  <si>
    <t>Cement - 48 tons</t>
  </si>
  <si>
    <t>Steel - 85 bags</t>
  </si>
  <si>
    <t>Steel - 156 bags</t>
  </si>
  <si>
    <t>Iron Rod - 112 bags</t>
  </si>
  <si>
    <t>Iron Rod - 354 kg</t>
  </si>
  <si>
    <t>Cement - 501 kg</t>
  </si>
  <si>
    <t>Iron Rod - 271 bags</t>
  </si>
  <si>
    <t>Steel - 168 bags</t>
  </si>
  <si>
    <t>Cement - 418 kg</t>
  </si>
  <si>
    <t>Iron Rod - 750 kg</t>
  </si>
  <si>
    <t>Wood - 45 tons</t>
  </si>
  <si>
    <t>Sand - 522 kg</t>
  </si>
  <si>
    <t>Steel - 982 kg</t>
  </si>
  <si>
    <t>Iron Rod - 26 tons</t>
  </si>
  <si>
    <t>Sand - 318 bags</t>
  </si>
  <si>
    <t>Gravel - 5 tons</t>
  </si>
  <si>
    <t>Sand - 620 kg</t>
  </si>
  <si>
    <t>Sand - 8 tons</t>
  </si>
  <si>
    <t>Steel - 20 tons</t>
  </si>
  <si>
    <t>Gravel - 168 bags</t>
  </si>
  <si>
    <t>Gravel - 614 kg</t>
  </si>
  <si>
    <t>Gravel - 11 tons</t>
  </si>
  <si>
    <t>Iron Rod - 32 tons</t>
  </si>
  <si>
    <t>Iron Rod - 197 bags</t>
  </si>
  <si>
    <t>Cement - 416 kg</t>
  </si>
  <si>
    <t>Sand - 134 bags</t>
  </si>
  <si>
    <t>Gravel - 30 tons</t>
  </si>
  <si>
    <t>Wood - 122 kg</t>
  </si>
  <si>
    <t>Sand - 38 tons</t>
  </si>
  <si>
    <t>Iron Rod - 500 bags</t>
  </si>
  <si>
    <t>Sand - 419 bags</t>
  </si>
  <si>
    <t>Sand - 344 kg</t>
  </si>
  <si>
    <t>Iron Rod - 39 tons</t>
  </si>
  <si>
    <t>Gravel - 179 kg</t>
  </si>
  <si>
    <t>Sand - 505 kg</t>
  </si>
  <si>
    <t>Cement - 158 bags</t>
  </si>
  <si>
    <t>Cement - 675 kg</t>
  </si>
  <si>
    <t>Iron Rod - 720 kg</t>
  </si>
  <si>
    <t>Wood - 40 tons</t>
  </si>
  <si>
    <t>Wood - 12 tons</t>
  </si>
  <si>
    <t>Cement - 220 bags</t>
  </si>
  <si>
    <t>Wood - 21 tons</t>
  </si>
  <si>
    <t>Iron Rod - 468 bags</t>
  </si>
  <si>
    <t>Iron Rod - 428 kg</t>
  </si>
  <si>
    <t>Cement - 7 tons</t>
  </si>
  <si>
    <t>Steel - 37 tons</t>
  </si>
  <si>
    <t>Iron Rod - 874 kg</t>
  </si>
  <si>
    <t>Steel - 65 bags</t>
  </si>
  <si>
    <t>Gravel - 124 kg</t>
  </si>
  <si>
    <t>Wood - 918 kg</t>
  </si>
  <si>
    <t>Sand - 16 tons</t>
  </si>
  <si>
    <t>Steel - 170 kg</t>
  </si>
  <si>
    <t>Iron Rod - 81 bags</t>
  </si>
  <si>
    <t>Cement - 60 bags</t>
  </si>
  <si>
    <t>Iron Rod - 451 bags</t>
  </si>
  <si>
    <t>Steel - 824 kg</t>
  </si>
  <si>
    <t>Gravel - 310 kg</t>
  </si>
  <si>
    <t>Cement - 254 bags</t>
  </si>
  <si>
    <t>Iron Rod - 482 bags</t>
  </si>
  <si>
    <t>Steel - 15 tons</t>
  </si>
  <si>
    <t>Cement - 582 kg</t>
  </si>
  <si>
    <t>Cement - 18 tons</t>
  </si>
  <si>
    <t>Steel - 949 kg</t>
  </si>
  <si>
    <t>Wood - 679 kg</t>
  </si>
  <si>
    <t>Wood - 777 kg</t>
  </si>
  <si>
    <t>Gravel - 12 tons</t>
  </si>
  <si>
    <t>Gravel - 978 kg</t>
  </si>
  <si>
    <t>Iron Rod - 176 bags</t>
  </si>
  <si>
    <t>Iron Rod - 613 kg</t>
  </si>
  <si>
    <t>Cement - 21 tons</t>
  </si>
  <si>
    <t>Sand - 122 bags</t>
  </si>
  <si>
    <t>Gravel - 446 kg</t>
  </si>
  <si>
    <t>Steel - 621 kg</t>
  </si>
  <si>
    <t>Sand - 286 bags</t>
  </si>
  <si>
    <t>Iron Rod - 292 bags</t>
  </si>
  <si>
    <t>Iron Rod - 216 bags</t>
  </si>
  <si>
    <t>Sand - 313 bags</t>
  </si>
  <si>
    <t>Steel - 41 tons</t>
  </si>
  <si>
    <t>Project city</t>
  </si>
  <si>
    <t>Lagos</t>
  </si>
  <si>
    <t>Enugu</t>
  </si>
  <si>
    <t>Port Harcourt</t>
  </si>
  <si>
    <t>Owerri</t>
  </si>
  <si>
    <t>Abuja</t>
  </si>
  <si>
    <t>Project type</t>
  </si>
  <si>
    <t>Project size</t>
  </si>
  <si>
    <t>Materials quantity</t>
  </si>
  <si>
    <t>Estimated cost (NGN)</t>
  </si>
  <si>
    <t>NO.Workers</t>
  </si>
  <si>
    <t>Bridge</t>
  </si>
  <si>
    <t>In Progress</t>
  </si>
  <si>
    <t>Steel</t>
  </si>
  <si>
    <t>Estate</t>
  </si>
  <si>
    <t>Cement</t>
  </si>
  <si>
    <t>Factory</t>
  </si>
  <si>
    <t>Mall</t>
  </si>
  <si>
    <t xml:space="preserve">Completed </t>
  </si>
  <si>
    <t>Wood</t>
  </si>
  <si>
    <t>Gravel</t>
  </si>
  <si>
    <t>Road</t>
  </si>
  <si>
    <t>Iron Rod</t>
  </si>
  <si>
    <t>Sand</t>
  </si>
  <si>
    <t>Row Labels</t>
  </si>
  <si>
    <t>Grand Total</t>
  </si>
  <si>
    <t>Average of Estimated cost (NGN)</t>
  </si>
  <si>
    <t>Count of Project type</t>
  </si>
  <si>
    <t>Count of Status</t>
  </si>
  <si>
    <t>Sum of Estimated cost (NGN)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</si>
</sst>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E8B8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 project type by project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57985450077927E-2"/>
          <c:y val="0.19486111111111112"/>
          <c:w val="0.9098152576189098"/>
          <c:h val="0.56839494021580639"/>
        </c:manualLayout>
      </c:layout>
      <c:barChart>
        <c:barDir val="col"/>
        <c:grouping val="clustered"/>
        <c:varyColors val="0"/>
        <c:ser>
          <c:idx val="0"/>
          <c:order val="0"/>
          <c:tx>
            <c:strRef>
              <c:f>chat1!$B$3</c:f>
              <c:strCache>
                <c:ptCount val="1"/>
                <c:pt idx="0">
                  <c:v>Total</c:v>
                </c:pt>
              </c:strCache>
            </c:strRef>
          </c:tx>
          <c:spPr>
            <a:solidFill>
              <a:schemeClr val="accent2"/>
            </a:solidFill>
            <a:ln>
              <a:noFill/>
            </a:ln>
            <a:effectLst/>
          </c:spPr>
          <c:invertIfNegative val="0"/>
          <c:cat>
            <c:multiLvlStrRef>
              <c:f>chat1!$A$4:$A$14</c:f>
              <c:multiLvlStrCache>
                <c:ptCount val="5"/>
                <c:lvl>
                  <c:pt idx="0">
                    <c:v>Road</c:v>
                  </c:pt>
                  <c:pt idx="1">
                    <c:v>Road</c:v>
                  </c:pt>
                  <c:pt idx="2">
                    <c:v>Road</c:v>
                  </c:pt>
                  <c:pt idx="3">
                    <c:v>Road</c:v>
                  </c:pt>
                  <c:pt idx="4">
                    <c:v>Road</c:v>
                  </c:pt>
                </c:lvl>
                <c:lvl>
                  <c:pt idx="0">
                    <c:v>Abuja</c:v>
                  </c:pt>
                  <c:pt idx="1">
                    <c:v>Enugu</c:v>
                  </c:pt>
                  <c:pt idx="2">
                    <c:v>Lagos</c:v>
                  </c:pt>
                  <c:pt idx="3">
                    <c:v>Owerri</c:v>
                  </c:pt>
                  <c:pt idx="4">
                    <c:v>Port Harcourt</c:v>
                  </c:pt>
                </c:lvl>
              </c:multiLvlStrCache>
            </c:multiLvlStrRef>
          </c:cat>
          <c:val>
            <c:numRef>
              <c:f>chat1!$B$4:$B$14</c:f>
              <c:numCache>
                <c:formatCode>General</c:formatCode>
                <c:ptCount val="5"/>
                <c:pt idx="0">
                  <c:v>6</c:v>
                </c:pt>
                <c:pt idx="1">
                  <c:v>4</c:v>
                </c:pt>
                <c:pt idx="2">
                  <c:v>2</c:v>
                </c:pt>
                <c:pt idx="3">
                  <c:v>10</c:v>
                </c:pt>
                <c:pt idx="4">
                  <c:v>3</c:v>
                </c:pt>
              </c:numCache>
            </c:numRef>
          </c:val>
          <c:extLst>
            <c:ext xmlns:c16="http://schemas.microsoft.com/office/drawing/2014/chart" uri="{C3380CC4-5D6E-409C-BE32-E72D297353CC}">
              <c16:uniqueId val="{00000000-281D-4B83-86B5-BB73AFBE0E31}"/>
            </c:ext>
          </c:extLst>
        </c:ser>
        <c:dLbls>
          <c:showLegendKey val="0"/>
          <c:showVal val="0"/>
          <c:showCatName val="0"/>
          <c:showSerName val="0"/>
          <c:showPercent val="0"/>
          <c:showBubbleSize val="0"/>
        </c:dLbls>
        <c:gapWidth val="219"/>
        <c:overlap val="-27"/>
        <c:axId val="1112074799"/>
        <c:axId val="1112089359"/>
      </c:barChart>
      <c:catAx>
        <c:axId val="1112074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89359"/>
        <c:crosses val="autoZero"/>
        <c:auto val="1"/>
        <c:lblAlgn val="ctr"/>
        <c:lblOffset val="100"/>
        <c:noMultiLvlLbl val="0"/>
      </c:catAx>
      <c:valAx>
        <c:axId val="1112089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7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AVG.estimated cost of materials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chat2!$B$3</c:f>
              <c:strCache>
                <c:ptCount val="1"/>
                <c:pt idx="0">
                  <c:v>Total</c:v>
                </c:pt>
              </c:strCache>
            </c:strRef>
          </c:tx>
          <c:spPr>
            <a:solidFill>
              <a:schemeClr val="accent2"/>
            </a:solidFill>
            <a:ln>
              <a:noFill/>
            </a:ln>
            <a:effectLst/>
          </c:spPr>
          <c:invertIfNegative val="0"/>
          <c:cat>
            <c:strRef>
              <c:f>chat2!$A$4:$A$10</c:f>
              <c:strCache>
                <c:ptCount val="6"/>
                <c:pt idx="0">
                  <c:v>Wood</c:v>
                </c:pt>
                <c:pt idx="1">
                  <c:v>Steel</c:v>
                </c:pt>
                <c:pt idx="2">
                  <c:v>Sand</c:v>
                </c:pt>
                <c:pt idx="3">
                  <c:v>Cement</c:v>
                </c:pt>
                <c:pt idx="4">
                  <c:v>Gravel</c:v>
                </c:pt>
                <c:pt idx="5">
                  <c:v>Iron Rod</c:v>
                </c:pt>
              </c:strCache>
            </c:strRef>
          </c:cat>
          <c:val>
            <c:numRef>
              <c:f>chat2!$B$4:$B$10</c:f>
              <c:numCache>
                <c:formatCode>General</c:formatCode>
                <c:ptCount val="6"/>
                <c:pt idx="0">
                  <c:v>16485462.666666666</c:v>
                </c:pt>
                <c:pt idx="1">
                  <c:v>19979468.75</c:v>
                </c:pt>
                <c:pt idx="2">
                  <c:v>25729743.333333332</c:v>
                </c:pt>
                <c:pt idx="3">
                  <c:v>26895857.666666668</c:v>
                </c:pt>
                <c:pt idx="4">
                  <c:v>34710810.200000003</c:v>
                </c:pt>
                <c:pt idx="5">
                  <c:v>35682820.428571425</c:v>
                </c:pt>
              </c:numCache>
            </c:numRef>
          </c:val>
          <c:extLst>
            <c:ext xmlns:c16="http://schemas.microsoft.com/office/drawing/2014/chart" uri="{C3380CC4-5D6E-409C-BE32-E72D297353CC}">
              <c16:uniqueId val="{00000000-1F87-44F3-9355-5264EA1263B8}"/>
            </c:ext>
          </c:extLst>
        </c:ser>
        <c:dLbls>
          <c:showLegendKey val="0"/>
          <c:showVal val="0"/>
          <c:showCatName val="0"/>
          <c:showSerName val="0"/>
          <c:showPercent val="0"/>
          <c:showBubbleSize val="0"/>
        </c:dLbls>
        <c:gapWidth val="150"/>
        <c:overlap val="100"/>
        <c:axId val="1113557023"/>
        <c:axId val="1113542463"/>
      </c:barChart>
      <c:catAx>
        <c:axId val="11135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42463"/>
        <c:crosses val="autoZero"/>
        <c:auto val="1"/>
        <c:lblAlgn val="ctr"/>
        <c:lblOffset val="100"/>
        <c:noMultiLvlLbl val="0"/>
      </c:catAx>
      <c:valAx>
        <c:axId val="111354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5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dashboard.xlsx]chat3!PivotTable4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status of project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chat3!$B$3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chat3!$A$4:$A$8</c:f>
              <c:multiLvlStrCache>
                <c:ptCount val="3"/>
                <c:lvl>
                  <c:pt idx="0">
                    <c:v>Completed </c:v>
                  </c:pt>
                  <c:pt idx="1">
                    <c:v>Completed</c:v>
                  </c:pt>
                  <c:pt idx="2">
                    <c:v>In Progress</c:v>
                  </c:pt>
                </c:lvl>
                <c:lvl>
                  <c:pt idx="0">
                    <c:v>Road</c:v>
                  </c:pt>
                </c:lvl>
              </c:multiLvlStrCache>
            </c:multiLvlStrRef>
          </c:cat>
          <c:val>
            <c:numRef>
              <c:f>chat3!$B$4:$B$8</c:f>
              <c:numCache>
                <c:formatCode>General</c:formatCode>
                <c:ptCount val="3"/>
                <c:pt idx="0">
                  <c:v>1</c:v>
                </c:pt>
                <c:pt idx="1">
                  <c:v>10</c:v>
                </c:pt>
                <c:pt idx="2">
                  <c:v>14</c:v>
                </c:pt>
              </c:numCache>
            </c:numRef>
          </c:val>
          <c:extLst>
            <c:ext xmlns:c16="http://schemas.microsoft.com/office/drawing/2014/chart" uri="{C3380CC4-5D6E-409C-BE32-E72D297353CC}">
              <c16:uniqueId val="{00000000-3AD0-4D00-9A99-D426BC68BE0E}"/>
            </c:ext>
          </c:extLst>
        </c:ser>
        <c:dLbls>
          <c:showLegendKey val="0"/>
          <c:showVal val="0"/>
          <c:showCatName val="0"/>
          <c:showSerName val="0"/>
          <c:showPercent val="0"/>
          <c:showBubbleSize val="0"/>
        </c:dLbls>
        <c:gapWidth val="150"/>
        <c:overlap val="100"/>
        <c:axId val="1202051791"/>
        <c:axId val="1202055119"/>
      </c:barChart>
      <c:catAx>
        <c:axId val="12020517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55119"/>
        <c:crosses val="autoZero"/>
        <c:auto val="1"/>
        <c:lblAlgn val="ctr"/>
        <c:lblOffset val="100"/>
        <c:noMultiLvlLbl val="0"/>
      </c:catAx>
      <c:valAx>
        <c:axId val="120205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dashboard.xlsx]chat4!PivotTable5</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estimated cost by project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chat4!$B$3</c:f>
              <c:strCache>
                <c:ptCount val="1"/>
                <c:pt idx="0">
                  <c:v>Total</c:v>
                </c:pt>
              </c:strCache>
            </c:strRef>
          </c:tx>
          <c:dPt>
            <c:idx val="0"/>
            <c:bubble3D val="0"/>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440B-42B5-88FD-7B6D5C3E8656}"/>
              </c:ext>
            </c:extLst>
          </c:dPt>
          <c:dPt>
            <c:idx val="1"/>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Pt>
          <c:dPt>
            <c:idx val="3"/>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dPt>
          <c:dPt>
            <c:idx val="4"/>
            <c:bubble3D val="0"/>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c:spPr>
          </c:dPt>
          <c:cat>
            <c:strRef>
              <c:f>chat4!$A$4:$A$9</c:f>
              <c:strCache>
                <c:ptCount val="5"/>
                <c:pt idx="0">
                  <c:v>Abuja</c:v>
                </c:pt>
                <c:pt idx="1">
                  <c:v>Port Harcourt</c:v>
                </c:pt>
                <c:pt idx="2">
                  <c:v>Enugu</c:v>
                </c:pt>
                <c:pt idx="3">
                  <c:v>Lagos</c:v>
                </c:pt>
                <c:pt idx="4">
                  <c:v>Owerri</c:v>
                </c:pt>
              </c:strCache>
            </c:strRef>
          </c:cat>
          <c:val>
            <c:numRef>
              <c:f>chat4!$B$4:$B$9</c:f>
              <c:numCache>
                <c:formatCode>General</c:formatCode>
                <c:ptCount val="5"/>
                <c:pt idx="0">
                  <c:v>30000000</c:v>
                </c:pt>
                <c:pt idx="1">
                  <c:v>43493776</c:v>
                </c:pt>
                <c:pt idx="2">
                  <c:v>46297507</c:v>
                </c:pt>
                <c:pt idx="3">
                  <c:v>49505687</c:v>
                </c:pt>
                <c:pt idx="4">
                  <c:v>221761986</c:v>
                </c:pt>
              </c:numCache>
            </c:numRef>
          </c:val>
          <c:extLst>
            <c:ext xmlns:c16="http://schemas.microsoft.com/office/drawing/2014/chart" uri="{C3380CC4-5D6E-409C-BE32-E72D297353CC}">
              <c16:uniqueId val="{00000000-56EF-4A08-95CF-9D567E41FF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dashboard.xlsx]chat1!PivotTable1</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NO.of project type by project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57985450077927E-2"/>
          <c:y val="0.19486111111111112"/>
          <c:w val="0.9098152576189098"/>
          <c:h val="0.56839494021580639"/>
        </c:manualLayout>
      </c:layout>
      <c:barChart>
        <c:barDir val="col"/>
        <c:grouping val="clustered"/>
        <c:varyColors val="0"/>
        <c:ser>
          <c:idx val="0"/>
          <c:order val="0"/>
          <c:tx>
            <c:strRef>
              <c:f>chat1!$B$3</c:f>
              <c:strCache>
                <c:ptCount val="1"/>
                <c:pt idx="0">
                  <c:v>Total</c:v>
                </c:pt>
              </c:strCache>
            </c:strRef>
          </c:tx>
          <c:spPr>
            <a:solidFill>
              <a:schemeClr val="accent2"/>
            </a:solidFill>
            <a:ln>
              <a:noFill/>
            </a:ln>
            <a:effectLst/>
          </c:spPr>
          <c:invertIfNegative val="0"/>
          <c:cat>
            <c:multiLvlStrRef>
              <c:f>chat1!$A$4:$A$14</c:f>
              <c:multiLvlStrCache>
                <c:ptCount val="5"/>
                <c:lvl>
                  <c:pt idx="0">
                    <c:v>Road</c:v>
                  </c:pt>
                  <c:pt idx="1">
                    <c:v>Road</c:v>
                  </c:pt>
                  <c:pt idx="2">
                    <c:v>Road</c:v>
                  </c:pt>
                  <c:pt idx="3">
                    <c:v>Road</c:v>
                  </c:pt>
                  <c:pt idx="4">
                    <c:v>Road</c:v>
                  </c:pt>
                </c:lvl>
                <c:lvl>
                  <c:pt idx="0">
                    <c:v>Abuja</c:v>
                  </c:pt>
                  <c:pt idx="1">
                    <c:v>Enugu</c:v>
                  </c:pt>
                  <c:pt idx="2">
                    <c:v>Lagos</c:v>
                  </c:pt>
                  <c:pt idx="3">
                    <c:v>Owerri</c:v>
                  </c:pt>
                  <c:pt idx="4">
                    <c:v>Port Harcourt</c:v>
                  </c:pt>
                </c:lvl>
              </c:multiLvlStrCache>
            </c:multiLvlStrRef>
          </c:cat>
          <c:val>
            <c:numRef>
              <c:f>chat1!$B$4:$B$14</c:f>
              <c:numCache>
                <c:formatCode>General</c:formatCode>
                <c:ptCount val="5"/>
                <c:pt idx="0">
                  <c:v>6</c:v>
                </c:pt>
                <c:pt idx="1">
                  <c:v>4</c:v>
                </c:pt>
                <c:pt idx="2">
                  <c:v>2</c:v>
                </c:pt>
                <c:pt idx="3">
                  <c:v>10</c:v>
                </c:pt>
                <c:pt idx="4">
                  <c:v>3</c:v>
                </c:pt>
              </c:numCache>
            </c:numRef>
          </c:val>
          <c:extLst>
            <c:ext xmlns:c16="http://schemas.microsoft.com/office/drawing/2014/chart" uri="{C3380CC4-5D6E-409C-BE32-E72D297353CC}">
              <c16:uniqueId val="{00000000-A8F7-4D44-A7B4-E9A81055446C}"/>
            </c:ext>
          </c:extLst>
        </c:ser>
        <c:dLbls>
          <c:showLegendKey val="0"/>
          <c:showVal val="0"/>
          <c:showCatName val="0"/>
          <c:showSerName val="0"/>
          <c:showPercent val="0"/>
          <c:showBubbleSize val="0"/>
        </c:dLbls>
        <c:gapWidth val="219"/>
        <c:overlap val="-27"/>
        <c:axId val="1112074799"/>
        <c:axId val="1112089359"/>
      </c:barChart>
      <c:catAx>
        <c:axId val="1112074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89359"/>
        <c:crosses val="autoZero"/>
        <c:auto val="1"/>
        <c:lblAlgn val="ctr"/>
        <c:lblOffset val="100"/>
        <c:noMultiLvlLbl val="0"/>
      </c:catAx>
      <c:valAx>
        <c:axId val="1112089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7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dashboard.xlsx]chat2!PivotTable2</c:name>
    <c:fmtId val="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AVG.estimated cost of materials used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chat2!$B$3</c:f>
              <c:strCache>
                <c:ptCount val="1"/>
                <c:pt idx="0">
                  <c:v>Total</c:v>
                </c:pt>
              </c:strCache>
            </c:strRef>
          </c:tx>
          <c:spPr>
            <a:solidFill>
              <a:schemeClr val="accent2"/>
            </a:solidFill>
            <a:ln>
              <a:noFill/>
            </a:ln>
            <a:effectLst/>
          </c:spPr>
          <c:invertIfNegative val="0"/>
          <c:cat>
            <c:strRef>
              <c:f>chat2!$A$4:$A$10</c:f>
              <c:strCache>
                <c:ptCount val="6"/>
                <c:pt idx="0">
                  <c:v>Wood</c:v>
                </c:pt>
                <c:pt idx="1">
                  <c:v>Steel</c:v>
                </c:pt>
                <c:pt idx="2">
                  <c:v>Sand</c:v>
                </c:pt>
                <c:pt idx="3">
                  <c:v>Cement</c:v>
                </c:pt>
                <c:pt idx="4">
                  <c:v>Gravel</c:v>
                </c:pt>
                <c:pt idx="5">
                  <c:v>Iron Rod</c:v>
                </c:pt>
              </c:strCache>
            </c:strRef>
          </c:cat>
          <c:val>
            <c:numRef>
              <c:f>chat2!$B$4:$B$10</c:f>
              <c:numCache>
                <c:formatCode>General</c:formatCode>
                <c:ptCount val="6"/>
                <c:pt idx="0">
                  <c:v>16485462.666666666</c:v>
                </c:pt>
                <c:pt idx="1">
                  <c:v>19979468.75</c:v>
                </c:pt>
                <c:pt idx="2">
                  <c:v>25729743.333333332</c:v>
                </c:pt>
                <c:pt idx="3">
                  <c:v>26895857.666666668</c:v>
                </c:pt>
                <c:pt idx="4">
                  <c:v>34710810.200000003</c:v>
                </c:pt>
                <c:pt idx="5">
                  <c:v>35682820.428571425</c:v>
                </c:pt>
              </c:numCache>
            </c:numRef>
          </c:val>
          <c:extLst>
            <c:ext xmlns:c16="http://schemas.microsoft.com/office/drawing/2014/chart" uri="{C3380CC4-5D6E-409C-BE32-E72D297353CC}">
              <c16:uniqueId val="{00000000-FA08-4F10-8528-B74CE323EBF1}"/>
            </c:ext>
          </c:extLst>
        </c:ser>
        <c:dLbls>
          <c:showLegendKey val="0"/>
          <c:showVal val="0"/>
          <c:showCatName val="0"/>
          <c:showSerName val="0"/>
          <c:showPercent val="0"/>
          <c:showBubbleSize val="0"/>
        </c:dLbls>
        <c:gapWidth val="150"/>
        <c:overlap val="100"/>
        <c:axId val="1113557023"/>
        <c:axId val="1113542463"/>
      </c:barChart>
      <c:catAx>
        <c:axId val="11135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42463"/>
        <c:crosses val="autoZero"/>
        <c:auto val="1"/>
        <c:lblAlgn val="ctr"/>
        <c:lblOffset val="100"/>
        <c:noMultiLvlLbl val="0"/>
      </c:catAx>
      <c:valAx>
        <c:axId val="111354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5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dashboard.xlsx]chat3!PivotTable4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2"/>
                </a:solidFill>
              </a:rPr>
              <a:t>status of project type</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chat3!$B$3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chat3!$A$4:$A$8</c:f>
              <c:multiLvlStrCache>
                <c:ptCount val="3"/>
                <c:lvl>
                  <c:pt idx="0">
                    <c:v>Completed </c:v>
                  </c:pt>
                  <c:pt idx="1">
                    <c:v>Completed</c:v>
                  </c:pt>
                  <c:pt idx="2">
                    <c:v>In Progress</c:v>
                  </c:pt>
                </c:lvl>
                <c:lvl>
                  <c:pt idx="0">
                    <c:v>Road</c:v>
                  </c:pt>
                </c:lvl>
              </c:multiLvlStrCache>
            </c:multiLvlStrRef>
          </c:cat>
          <c:val>
            <c:numRef>
              <c:f>chat3!$B$4:$B$8</c:f>
              <c:numCache>
                <c:formatCode>General</c:formatCode>
                <c:ptCount val="3"/>
                <c:pt idx="0">
                  <c:v>1</c:v>
                </c:pt>
                <c:pt idx="1">
                  <c:v>10</c:v>
                </c:pt>
                <c:pt idx="2">
                  <c:v>14</c:v>
                </c:pt>
              </c:numCache>
            </c:numRef>
          </c:val>
          <c:extLst>
            <c:ext xmlns:c16="http://schemas.microsoft.com/office/drawing/2014/chart" uri="{C3380CC4-5D6E-409C-BE32-E72D297353CC}">
              <c16:uniqueId val="{00000000-97FF-4A12-BF75-2441CE875CBE}"/>
            </c:ext>
          </c:extLst>
        </c:ser>
        <c:dLbls>
          <c:showLegendKey val="0"/>
          <c:showVal val="0"/>
          <c:showCatName val="0"/>
          <c:showSerName val="0"/>
          <c:showPercent val="0"/>
          <c:showBubbleSize val="0"/>
        </c:dLbls>
        <c:gapWidth val="150"/>
        <c:overlap val="100"/>
        <c:axId val="1202051791"/>
        <c:axId val="1202055119"/>
      </c:barChart>
      <c:catAx>
        <c:axId val="12020517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55119"/>
        <c:crosses val="autoZero"/>
        <c:auto val="1"/>
        <c:lblAlgn val="ctr"/>
        <c:lblOffset val="100"/>
        <c:noMultiLvlLbl val="0"/>
      </c:catAx>
      <c:valAx>
        <c:axId val="120205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[construction dashboard.xlsx]chat4!PivotTable5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of estimated cost by project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chat4!$B$3</c:f>
              <c:strCache>
                <c:ptCount val="1"/>
                <c:pt idx="0">
                  <c:v>Total</c:v>
                </c:pt>
              </c:strCache>
            </c:strRef>
          </c:tx>
          <c:dPt>
            <c:idx val="0"/>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553-4801-B7AC-E36C7ED843B2}"/>
              </c:ext>
            </c:extLst>
          </c:dPt>
          <c:dPt>
            <c:idx val="1"/>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553-4801-B7AC-E36C7ED843B2}"/>
              </c:ext>
            </c:extLst>
          </c:dPt>
          <c:dPt>
            <c:idx val="2"/>
            <c:bubble3D val="0"/>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553-4801-B7AC-E36C7ED843B2}"/>
              </c:ext>
            </c:extLst>
          </c:dPt>
          <c:dPt>
            <c:idx val="3"/>
            <c:bubble3D val="0"/>
            <c:spPr>
              <a:gradFill rotWithShape="1">
                <a:gsLst>
                  <a:gs pos="0">
                    <a:schemeClr val="accent2">
                      <a:shade val="53000"/>
                      <a:shade val="51000"/>
                      <a:satMod val="130000"/>
                    </a:schemeClr>
                  </a:gs>
                  <a:gs pos="80000">
                    <a:schemeClr val="accent2">
                      <a:shade val="53000"/>
                      <a:shade val="93000"/>
                      <a:satMod val="130000"/>
                    </a:schemeClr>
                  </a:gs>
                  <a:gs pos="100000">
                    <a:schemeClr val="accent2">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6553-4801-B7AC-E36C7ED843B2}"/>
              </c:ext>
            </c:extLst>
          </c:dPt>
          <c:dPt>
            <c:idx val="4"/>
            <c:bubble3D val="0"/>
            <c:spPr>
              <a:gradFill rotWithShape="1">
                <a:gsLst>
                  <a:gs pos="0">
                    <a:schemeClr val="accent2">
                      <a:tint val="54000"/>
                      <a:shade val="51000"/>
                      <a:satMod val="130000"/>
                    </a:schemeClr>
                  </a:gs>
                  <a:gs pos="80000">
                    <a:schemeClr val="accent2">
                      <a:tint val="54000"/>
                      <a:shade val="93000"/>
                      <a:satMod val="130000"/>
                    </a:schemeClr>
                  </a:gs>
                  <a:gs pos="100000">
                    <a:schemeClr val="accent2">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6553-4801-B7AC-E36C7ED843B2}"/>
              </c:ext>
            </c:extLst>
          </c:dPt>
          <c:cat>
            <c:strRef>
              <c:f>chat4!$A$4:$A$9</c:f>
              <c:strCache>
                <c:ptCount val="5"/>
                <c:pt idx="0">
                  <c:v>Abuja</c:v>
                </c:pt>
                <c:pt idx="1">
                  <c:v>Port Harcourt</c:v>
                </c:pt>
                <c:pt idx="2">
                  <c:v>Enugu</c:v>
                </c:pt>
                <c:pt idx="3">
                  <c:v>Lagos</c:v>
                </c:pt>
                <c:pt idx="4">
                  <c:v>Owerri</c:v>
                </c:pt>
              </c:strCache>
            </c:strRef>
          </c:cat>
          <c:val>
            <c:numRef>
              <c:f>chat4!$B$4:$B$9</c:f>
              <c:numCache>
                <c:formatCode>General</c:formatCode>
                <c:ptCount val="5"/>
                <c:pt idx="0">
                  <c:v>30000000</c:v>
                </c:pt>
                <c:pt idx="1">
                  <c:v>43493776</c:v>
                </c:pt>
                <c:pt idx="2">
                  <c:v>46297507</c:v>
                </c:pt>
                <c:pt idx="3">
                  <c:v>49505687</c:v>
                </c:pt>
                <c:pt idx="4">
                  <c:v>221761986</c:v>
                </c:pt>
              </c:numCache>
            </c:numRef>
          </c:val>
          <c:extLst>
            <c:ext xmlns:c16="http://schemas.microsoft.com/office/drawing/2014/chart" uri="{C3380CC4-5D6E-409C-BE32-E72D297353CC}">
              <c16:uniqueId val="{0000000A-6553-4801-B7AC-E36C7ED843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[construction dashboard.xlsx]chat3!PivotTable4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000" b="1">
                <a:solidFill>
                  <a:schemeClr val="tx2"/>
                </a:solidFill>
              </a:rPr>
              <a:t>status of project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chat3!$B$3</c:f>
              <c:strCache>
                <c:ptCount val="1"/>
                <c:pt idx="0">
                  <c:v>Total</c:v>
                </c:pt>
              </c:strCache>
            </c:strRef>
          </c:tx>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chat3!$A$4:$A$8</c:f>
              <c:multiLvlStrCache>
                <c:ptCount val="3"/>
                <c:lvl>
                  <c:pt idx="0">
                    <c:v>Completed </c:v>
                  </c:pt>
                  <c:pt idx="1">
                    <c:v>Completed</c:v>
                  </c:pt>
                  <c:pt idx="2">
                    <c:v>In Progress</c:v>
                  </c:pt>
                </c:lvl>
                <c:lvl>
                  <c:pt idx="0">
                    <c:v>Road</c:v>
                  </c:pt>
                </c:lvl>
              </c:multiLvlStrCache>
            </c:multiLvlStrRef>
          </c:cat>
          <c:val>
            <c:numRef>
              <c:f>chat3!$B$4:$B$8</c:f>
              <c:numCache>
                <c:formatCode>General</c:formatCode>
                <c:ptCount val="3"/>
                <c:pt idx="0">
                  <c:v>1</c:v>
                </c:pt>
                <c:pt idx="1">
                  <c:v>10</c:v>
                </c:pt>
                <c:pt idx="2">
                  <c:v>14</c:v>
                </c:pt>
              </c:numCache>
            </c:numRef>
          </c:val>
          <c:extLst>
            <c:ext xmlns:c16="http://schemas.microsoft.com/office/drawing/2014/chart" uri="{C3380CC4-5D6E-409C-BE32-E72D297353CC}">
              <c16:uniqueId val="{00000000-EDC0-4DF0-B617-BCE87332EB8F}"/>
            </c:ext>
          </c:extLst>
        </c:ser>
        <c:dLbls>
          <c:showLegendKey val="0"/>
          <c:showVal val="0"/>
          <c:showCatName val="0"/>
          <c:showSerName val="0"/>
          <c:showPercent val="0"/>
          <c:showBubbleSize val="0"/>
        </c:dLbls>
        <c:gapWidth val="150"/>
        <c:overlap val="100"/>
        <c:axId val="1202051791"/>
        <c:axId val="1202055119"/>
      </c:barChart>
      <c:catAx>
        <c:axId val="1202051791"/>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55119"/>
        <c:crosses val="autoZero"/>
        <c:auto val="1"/>
        <c:lblAlgn val="ctr"/>
        <c:lblOffset val="100"/>
        <c:noMultiLvlLbl val="0"/>
      </c:catAx>
      <c:valAx>
        <c:axId val="1202055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05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[construction dashboard.xlsx]chat1!PivotTable1</c:name>
    <c:fmtId val="5"/>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000" b="1">
                <a:solidFill>
                  <a:schemeClr val="tx2"/>
                </a:solidFill>
              </a:rPr>
              <a:t>NO.of project type by project city</a:t>
            </a:r>
          </a:p>
        </c:rich>
      </c:tx>
      <c:layout>
        <c:manualLayout>
          <c:xMode val="edge"/>
          <c:yMode val="edge"/>
          <c:x val="0.17866986078111807"/>
          <c:y val="4.46927112170493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98490612131391E-2"/>
          <c:y val="0.19486106490209851"/>
          <c:w val="0.9098152576189098"/>
          <c:h val="0.56839494021580639"/>
        </c:manualLayout>
      </c:layout>
      <c:barChart>
        <c:barDir val="col"/>
        <c:grouping val="clustered"/>
        <c:varyColors val="0"/>
        <c:ser>
          <c:idx val="0"/>
          <c:order val="0"/>
          <c:tx>
            <c:strRef>
              <c:f>chat1!$B$3</c:f>
              <c:strCache>
                <c:ptCount val="1"/>
                <c:pt idx="0">
                  <c:v>Total</c:v>
                </c:pt>
              </c:strCache>
            </c:strRef>
          </c:tx>
          <c:spPr>
            <a:solidFill>
              <a:schemeClr val="dk1">
                <a:tint val="88500"/>
              </a:schemeClr>
            </a:solidFill>
            <a:ln>
              <a:noFill/>
            </a:ln>
            <a:effectLst/>
          </c:spPr>
          <c:invertIfNegative val="0"/>
          <c:cat>
            <c:multiLvlStrRef>
              <c:f>chat1!$A$4:$A$14</c:f>
              <c:multiLvlStrCache>
                <c:ptCount val="5"/>
                <c:lvl>
                  <c:pt idx="0">
                    <c:v>Road</c:v>
                  </c:pt>
                  <c:pt idx="1">
                    <c:v>Road</c:v>
                  </c:pt>
                  <c:pt idx="2">
                    <c:v>Road</c:v>
                  </c:pt>
                  <c:pt idx="3">
                    <c:v>Road</c:v>
                  </c:pt>
                  <c:pt idx="4">
                    <c:v>Road</c:v>
                  </c:pt>
                </c:lvl>
                <c:lvl>
                  <c:pt idx="0">
                    <c:v>Abuja</c:v>
                  </c:pt>
                  <c:pt idx="1">
                    <c:v>Enugu</c:v>
                  </c:pt>
                  <c:pt idx="2">
                    <c:v>Lagos</c:v>
                  </c:pt>
                  <c:pt idx="3">
                    <c:v>Owerri</c:v>
                  </c:pt>
                  <c:pt idx="4">
                    <c:v>Port Harcourt</c:v>
                  </c:pt>
                </c:lvl>
              </c:multiLvlStrCache>
            </c:multiLvlStrRef>
          </c:cat>
          <c:val>
            <c:numRef>
              <c:f>chat1!$B$4:$B$14</c:f>
              <c:numCache>
                <c:formatCode>General</c:formatCode>
                <c:ptCount val="5"/>
                <c:pt idx="0">
                  <c:v>6</c:v>
                </c:pt>
                <c:pt idx="1">
                  <c:v>4</c:v>
                </c:pt>
                <c:pt idx="2">
                  <c:v>2</c:v>
                </c:pt>
                <c:pt idx="3">
                  <c:v>10</c:v>
                </c:pt>
                <c:pt idx="4">
                  <c:v>3</c:v>
                </c:pt>
              </c:numCache>
            </c:numRef>
          </c:val>
          <c:extLst>
            <c:ext xmlns:c16="http://schemas.microsoft.com/office/drawing/2014/chart" uri="{C3380CC4-5D6E-409C-BE32-E72D297353CC}">
              <c16:uniqueId val="{00000000-B24B-4DDF-8511-438F4C309BD4}"/>
            </c:ext>
          </c:extLst>
        </c:ser>
        <c:dLbls>
          <c:showLegendKey val="0"/>
          <c:showVal val="0"/>
          <c:showCatName val="0"/>
          <c:showSerName val="0"/>
          <c:showPercent val="0"/>
          <c:showBubbleSize val="0"/>
        </c:dLbls>
        <c:gapWidth val="219"/>
        <c:overlap val="-27"/>
        <c:axId val="1112074799"/>
        <c:axId val="1112089359"/>
      </c:barChart>
      <c:catAx>
        <c:axId val="111207479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89359"/>
        <c:crosses val="autoZero"/>
        <c:auto val="1"/>
        <c:lblAlgn val="ctr"/>
        <c:lblOffset val="100"/>
        <c:noMultiLvlLbl val="0"/>
      </c:catAx>
      <c:valAx>
        <c:axId val="11120893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7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[construction dashboard.xlsx]chat2!PivotTable2</c:name>
    <c:fmtId val="8"/>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000" b="1">
                <a:solidFill>
                  <a:schemeClr val="tx2"/>
                </a:solidFill>
              </a:rPr>
              <a:t>AVG.estimated cost of materials used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2951481458519"/>
          <c:y val="0.21972613273223926"/>
          <c:w val="0.78187529708392756"/>
          <c:h val="0.63294796579439627"/>
        </c:manualLayout>
      </c:layout>
      <c:barChart>
        <c:barDir val="col"/>
        <c:grouping val="stacked"/>
        <c:varyColors val="0"/>
        <c:ser>
          <c:idx val="0"/>
          <c:order val="0"/>
          <c:tx>
            <c:strRef>
              <c:f>chat2!$B$3</c:f>
              <c:strCache>
                <c:ptCount val="1"/>
                <c:pt idx="0">
                  <c:v>Total</c:v>
                </c:pt>
              </c:strCache>
            </c:strRef>
          </c:tx>
          <c:spPr>
            <a:solidFill>
              <a:schemeClr val="dk1">
                <a:tint val="88500"/>
              </a:schemeClr>
            </a:solidFill>
            <a:ln>
              <a:noFill/>
            </a:ln>
            <a:effectLst/>
          </c:spPr>
          <c:invertIfNegative val="0"/>
          <c:cat>
            <c:strRef>
              <c:f>chat2!$A$4:$A$10</c:f>
              <c:strCache>
                <c:ptCount val="6"/>
                <c:pt idx="0">
                  <c:v>Wood</c:v>
                </c:pt>
                <c:pt idx="1">
                  <c:v>Steel</c:v>
                </c:pt>
                <c:pt idx="2">
                  <c:v>Sand</c:v>
                </c:pt>
                <c:pt idx="3">
                  <c:v>Cement</c:v>
                </c:pt>
                <c:pt idx="4">
                  <c:v>Gravel</c:v>
                </c:pt>
                <c:pt idx="5">
                  <c:v>Iron Rod</c:v>
                </c:pt>
              </c:strCache>
            </c:strRef>
          </c:cat>
          <c:val>
            <c:numRef>
              <c:f>chat2!$B$4:$B$10</c:f>
              <c:numCache>
                <c:formatCode>General</c:formatCode>
                <c:ptCount val="6"/>
                <c:pt idx="0">
                  <c:v>16485462.666666666</c:v>
                </c:pt>
                <c:pt idx="1">
                  <c:v>19979468.75</c:v>
                </c:pt>
                <c:pt idx="2">
                  <c:v>25729743.333333332</c:v>
                </c:pt>
                <c:pt idx="3">
                  <c:v>26895857.666666668</c:v>
                </c:pt>
                <c:pt idx="4">
                  <c:v>34710810.200000003</c:v>
                </c:pt>
                <c:pt idx="5">
                  <c:v>35682820.428571425</c:v>
                </c:pt>
              </c:numCache>
            </c:numRef>
          </c:val>
          <c:extLst>
            <c:ext xmlns:c16="http://schemas.microsoft.com/office/drawing/2014/chart" uri="{C3380CC4-5D6E-409C-BE32-E72D297353CC}">
              <c16:uniqueId val="{00000000-266F-4FEF-B34E-695C70556297}"/>
            </c:ext>
          </c:extLst>
        </c:ser>
        <c:dLbls>
          <c:showLegendKey val="0"/>
          <c:showVal val="0"/>
          <c:showCatName val="0"/>
          <c:showSerName val="0"/>
          <c:showPercent val="0"/>
          <c:showBubbleSize val="0"/>
        </c:dLbls>
        <c:gapWidth val="150"/>
        <c:overlap val="100"/>
        <c:axId val="1113557023"/>
        <c:axId val="1113542463"/>
      </c:barChart>
      <c:catAx>
        <c:axId val="1113557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42463"/>
        <c:crosses val="autoZero"/>
        <c:auto val="1"/>
        <c:lblAlgn val="ctr"/>
        <c:lblOffset val="100"/>
        <c:noMultiLvlLbl val="0"/>
      </c:catAx>
      <c:valAx>
        <c:axId val="111354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557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[construction dashboard.xlsx]chat4!PivotTable5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050"/>
              <a:t>sum of estimated cost by project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chat4!$B$3</c:f>
              <c:strCache>
                <c:ptCount val="1"/>
                <c:pt idx="0">
                  <c:v>Total</c:v>
                </c:pt>
              </c:strCache>
            </c:strRef>
          </c:tx>
          <c:dPt>
            <c:idx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034-4315-BD97-C9C4A21A54B0}"/>
              </c:ext>
            </c:extLst>
          </c:dPt>
          <c:dPt>
            <c:idx val="1"/>
            <c:bubble3D val="0"/>
            <c:spPr>
              <a:gradFill rotWithShape="1">
                <a:gsLst>
                  <a:gs pos="0">
                    <a:schemeClr val="dk1">
                      <a:tint val="55000"/>
                      <a:shade val="51000"/>
                      <a:satMod val="130000"/>
                    </a:schemeClr>
                  </a:gs>
                  <a:gs pos="80000">
                    <a:schemeClr val="dk1">
                      <a:tint val="55000"/>
                      <a:shade val="93000"/>
                      <a:satMod val="130000"/>
                    </a:schemeClr>
                  </a:gs>
                  <a:gs pos="100000">
                    <a:schemeClr val="dk1">
                      <a:tint val="5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034-4315-BD97-C9C4A21A54B0}"/>
              </c:ext>
            </c:extLst>
          </c:dPt>
          <c:dPt>
            <c:idx val="2"/>
            <c:bubble3D val="0"/>
            <c:spPr>
              <a:gradFill rotWithShape="1">
                <a:gsLst>
                  <a:gs pos="0">
                    <a:schemeClr val="dk1">
                      <a:tint val="75000"/>
                      <a:shade val="51000"/>
                      <a:satMod val="130000"/>
                    </a:schemeClr>
                  </a:gs>
                  <a:gs pos="80000">
                    <a:schemeClr val="dk1">
                      <a:tint val="75000"/>
                      <a:shade val="93000"/>
                      <a:satMod val="130000"/>
                    </a:schemeClr>
                  </a:gs>
                  <a:gs pos="100000">
                    <a:schemeClr val="dk1">
                      <a:tint val="7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034-4315-BD97-C9C4A21A54B0}"/>
              </c:ext>
            </c:extLst>
          </c:dPt>
          <c:dPt>
            <c:idx val="3"/>
            <c:bubble3D val="0"/>
            <c:spPr>
              <a:gradFill rotWithShape="1">
                <a:gsLst>
                  <a:gs pos="0">
                    <a:schemeClr val="dk1">
                      <a:tint val="98500"/>
                      <a:shade val="51000"/>
                      <a:satMod val="130000"/>
                    </a:schemeClr>
                  </a:gs>
                  <a:gs pos="80000">
                    <a:schemeClr val="dk1">
                      <a:tint val="98500"/>
                      <a:shade val="93000"/>
                      <a:satMod val="130000"/>
                    </a:schemeClr>
                  </a:gs>
                  <a:gs pos="100000">
                    <a:schemeClr val="dk1">
                      <a:tint val="9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C034-4315-BD97-C9C4A21A54B0}"/>
              </c:ext>
            </c:extLst>
          </c:dPt>
          <c:dPt>
            <c:idx val="4"/>
            <c:bubble3D val="0"/>
            <c:spPr>
              <a:gradFill rotWithShape="1">
                <a:gsLst>
                  <a:gs pos="0">
                    <a:schemeClr val="dk1">
                      <a:tint val="30000"/>
                      <a:shade val="51000"/>
                      <a:satMod val="130000"/>
                    </a:schemeClr>
                  </a:gs>
                  <a:gs pos="80000">
                    <a:schemeClr val="dk1">
                      <a:tint val="30000"/>
                      <a:shade val="93000"/>
                      <a:satMod val="130000"/>
                    </a:schemeClr>
                  </a:gs>
                  <a:gs pos="100000">
                    <a:schemeClr val="dk1">
                      <a:tint val="3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C034-4315-BD97-C9C4A21A54B0}"/>
              </c:ext>
            </c:extLst>
          </c:dPt>
          <c:cat>
            <c:strRef>
              <c:f>chat4!$A$4:$A$9</c:f>
              <c:strCache>
                <c:ptCount val="5"/>
                <c:pt idx="0">
                  <c:v>Abuja</c:v>
                </c:pt>
                <c:pt idx="1">
                  <c:v>Port Harcourt</c:v>
                </c:pt>
                <c:pt idx="2">
                  <c:v>Enugu</c:v>
                </c:pt>
                <c:pt idx="3">
                  <c:v>Lagos</c:v>
                </c:pt>
                <c:pt idx="4">
                  <c:v>Owerri</c:v>
                </c:pt>
              </c:strCache>
            </c:strRef>
          </c:cat>
          <c:val>
            <c:numRef>
              <c:f>chat4!$B$4:$B$9</c:f>
              <c:numCache>
                <c:formatCode>General</c:formatCode>
                <c:ptCount val="5"/>
                <c:pt idx="0">
                  <c:v>30000000</c:v>
                </c:pt>
                <c:pt idx="1">
                  <c:v>43493776</c:v>
                </c:pt>
                <c:pt idx="2">
                  <c:v>46297507</c:v>
                </c:pt>
                <c:pt idx="3">
                  <c:v>49505687</c:v>
                </c:pt>
                <c:pt idx="4">
                  <c:v>221761986</c:v>
                </c:pt>
              </c:numCache>
            </c:numRef>
          </c:val>
          <c:extLst>
            <c:ext xmlns:c16="http://schemas.microsoft.com/office/drawing/2014/chart" uri="{C3380CC4-5D6E-409C-BE32-E72D297353CC}">
              <c16:uniqueId val="{0000000A-C034-4315-BD97-C9C4A21A54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742949</xdr:colOff>
      <xdr:row>7</xdr:row>
      <xdr:rowOff>76200</xdr:rowOff>
    </xdr:from>
    <xdr:to>
      <xdr:col>10</xdr:col>
      <xdr:colOff>66674</xdr:colOff>
      <xdr:row>21</xdr:row>
      <xdr:rowOff>152400</xdr:rowOff>
    </xdr:to>
    <xdr:graphicFrame macro="">
      <xdr:nvGraphicFramePr>
        <xdr:cNvPr id="2" name="Chart 1">
          <a:extLst>
            <a:ext uri="{FF2B5EF4-FFF2-40B4-BE49-F238E27FC236}">
              <a16:creationId xmlns:a16="http://schemas.microsoft.com/office/drawing/2014/main" id="{1CF5F8A8-21CA-468F-AB22-998E5DD36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523875</xdr:colOff>
      <xdr:row>3</xdr:row>
      <xdr:rowOff>33337</xdr:rowOff>
    </xdr:from>
    <xdr:to>
      <xdr:col>10</xdr:col>
      <xdr:colOff>219075</xdr:colOff>
      <xdr:row>17</xdr:row>
      <xdr:rowOff>109537</xdr:rowOff>
    </xdr:to>
    <xdr:graphicFrame macro="">
      <xdr:nvGraphicFramePr>
        <xdr:cNvPr id="2" name="Chart 1">
          <a:extLst>
            <a:ext uri="{FF2B5EF4-FFF2-40B4-BE49-F238E27FC236}">
              <a16:creationId xmlns:a16="http://schemas.microsoft.com/office/drawing/2014/main" id="{F71CC322-0017-4C2E-BE57-2653DEFB6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xdr:colOff>
      <xdr:row>2</xdr:row>
      <xdr:rowOff>61912</xdr:rowOff>
    </xdr:from>
    <xdr:to>
      <xdr:col>12</xdr:col>
      <xdr:colOff>457200</xdr:colOff>
      <xdr:row>16</xdr:row>
      <xdr:rowOff>138112</xdr:rowOff>
    </xdr:to>
    <xdr:graphicFrame macro="">
      <xdr:nvGraphicFramePr>
        <xdr:cNvPr id="2" name="Chart 1">
          <a:extLst>
            <a:ext uri="{FF2B5EF4-FFF2-40B4-BE49-F238E27FC236}">
              <a16:creationId xmlns:a16="http://schemas.microsoft.com/office/drawing/2014/main" id="{63D01A0B-8079-4C01-B472-45D4D6656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123825</xdr:colOff>
      <xdr:row>1</xdr:row>
      <xdr:rowOff>166687</xdr:rowOff>
    </xdr:from>
    <xdr:to>
      <xdr:col>10</xdr:col>
      <xdr:colOff>428625</xdr:colOff>
      <xdr:row>16</xdr:row>
      <xdr:rowOff>52387</xdr:rowOff>
    </xdr:to>
    <xdr:graphicFrame macro="">
      <xdr:nvGraphicFramePr>
        <xdr:cNvPr id="2" name="Chart 1">
          <a:extLst>
            <a:ext uri="{FF2B5EF4-FFF2-40B4-BE49-F238E27FC236}">
              <a16:creationId xmlns:a16="http://schemas.microsoft.com/office/drawing/2014/main" id="{8FE57FEF-EB6E-49EA-A59B-B264D2D61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133350</xdr:colOff>
      <xdr:row>1</xdr:row>
      <xdr:rowOff>0</xdr:rowOff>
    </xdr:from>
    <xdr:to>
      <xdr:col>3</xdr:col>
      <xdr:colOff>561975</xdr:colOff>
      <xdr:row>2</xdr:row>
      <xdr:rowOff>66675</xdr:rowOff>
    </xdr:to>
    <xdr:sp macro="" textlink="">
      <xdr:nvSpPr>
        <xdr:cNvPr id="2" name="TextBox 1">
          <a:extLst>
            <a:ext uri="{FF2B5EF4-FFF2-40B4-BE49-F238E27FC236}">
              <a16:creationId xmlns:a16="http://schemas.microsoft.com/office/drawing/2014/main" id="{4218F132-B500-45D8-88BF-9DB612B0AEC2}"/>
            </a:ext>
          </a:extLst>
        </xdr:cNvPr>
        <xdr:cNvSpPr txBox="1"/>
      </xdr:nvSpPr>
      <xdr:spPr>
        <a:xfrm>
          <a:off x="133350" y="190500"/>
          <a:ext cx="2257425" cy="2571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ysClr val="windowText" lastClr="000000"/>
              </a:solidFill>
            </a:rPr>
            <a:t>Dashboard</a:t>
          </a:r>
          <a:r>
            <a:rPr lang="en-US" sz="1050" b="1" baseline="0">
              <a:solidFill>
                <a:sysClr val="windowText" lastClr="000000"/>
              </a:solidFill>
            </a:rPr>
            <a:t> Report</a:t>
          </a:r>
          <a:endParaRPr lang="en-US" sz="1050" b="1">
            <a:solidFill>
              <a:sysClr val="windowText" lastClr="000000"/>
            </a:solidFill>
          </a:endParaRPr>
        </a:p>
      </xdr:txBody>
    </xdr:sp>
    <xdr:clientData/>
  </xdr:twoCellAnchor>
  <xdr:twoCellAnchor>
    <xdr:from>
      <xdr:col>5</xdr:col>
      <xdr:colOff>447675</xdr:colOff>
      <xdr:row>0</xdr:row>
      <xdr:rowOff>133349</xdr:rowOff>
    </xdr:from>
    <xdr:to>
      <xdr:col>11</xdr:col>
      <xdr:colOff>447674</xdr:colOff>
      <xdr:row>2</xdr:row>
      <xdr:rowOff>57150</xdr:rowOff>
    </xdr:to>
    <xdr:sp macro="" textlink="">
      <xdr:nvSpPr>
        <xdr:cNvPr id="3" name="TextBox 2">
          <a:extLst>
            <a:ext uri="{FF2B5EF4-FFF2-40B4-BE49-F238E27FC236}">
              <a16:creationId xmlns:a16="http://schemas.microsoft.com/office/drawing/2014/main" id="{BE54CC18-7BF7-4FBC-AF5D-1EE27359917F}"/>
            </a:ext>
          </a:extLst>
        </xdr:cNvPr>
        <xdr:cNvSpPr txBox="1"/>
      </xdr:nvSpPr>
      <xdr:spPr>
        <a:xfrm>
          <a:off x="3495675" y="133349"/>
          <a:ext cx="3657599" cy="304801"/>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ADS.CONSTRUCTIONS DASHBOARD</a:t>
          </a:r>
        </a:p>
      </xdr:txBody>
    </xdr:sp>
    <xdr:clientData/>
  </xdr:twoCellAnchor>
  <xdr:twoCellAnchor>
    <xdr:from>
      <xdr:col>0</xdr:col>
      <xdr:colOff>190499</xdr:colOff>
      <xdr:row>26</xdr:row>
      <xdr:rowOff>9525</xdr:rowOff>
    </xdr:from>
    <xdr:to>
      <xdr:col>8</xdr:col>
      <xdr:colOff>434339</xdr:colOff>
      <xdr:row>40</xdr:row>
      <xdr:rowOff>85725</xdr:rowOff>
    </xdr:to>
    <xdr:graphicFrame macro="">
      <xdr:nvGraphicFramePr>
        <xdr:cNvPr id="4" name="Chart 3">
          <a:extLst>
            <a:ext uri="{FF2B5EF4-FFF2-40B4-BE49-F238E27FC236}">
              <a16:creationId xmlns:a16="http://schemas.microsoft.com/office/drawing/2014/main" id="{98D41888-8A78-4CB3-BEF7-AAD7FFD67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25</xdr:row>
      <xdr:rowOff>180975</xdr:rowOff>
    </xdr:from>
    <xdr:to>
      <xdr:col>18</xdr:col>
      <xdr:colOff>15240</xdr:colOff>
      <xdr:row>40</xdr:row>
      <xdr:rowOff>66675</xdr:rowOff>
    </xdr:to>
    <xdr:graphicFrame macro="">
      <xdr:nvGraphicFramePr>
        <xdr:cNvPr id="5" name="Chart 4">
          <a:extLst>
            <a:ext uri="{FF2B5EF4-FFF2-40B4-BE49-F238E27FC236}">
              <a16:creationId xmlns:a16="http://schemas.microsoft.com/office/drawing/2014/main" id="{CB54C676-5E0A-4847-ABA4-4BE32BEC1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209550</xdr:colOff>
      <xdr:row>10</xdr:row>
      <xdr:rowOff>95250</xdr:rowOff>
    </xdr:from>
    <xdr:to>
      <xdr:col>8</xdr:col>
      <xdr:colOff>453390</xdr:colOff>
      <xdr:row>24</xdr:row>
      <xdr:rowOff>171450</xdr:rowOff>
    </xdr:to>
    <xdr:graphicFrame macro="">
      <xdr:nvGraphicFramePr>
        <xdr:cNvPr id="6" name="Chart 5">
          <a:extLst>
            <a:ext uri="{FF2B5EF4-FFF2-40B4-BE49-F238E27FC236}">
              <a16:creationId xmlns:a16="http://schemas.microsoft.com/office/drawing/2014/main" id="{5DF193E7-86DD-4D39-8A18-16D5C5BCA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390525</xdr:colOff>
      <xdr:row>10</xdr:row>
      <xdr:rowOff>66675</xdr:rowOff>
    </xdr:from>
    <xdr:to>
      <xdr:col>18</xdr:col>
      <xdr:colOff>24765</xdr:colOff>
      <xdr:row>24</xdr:row>
      <xdr:rowOff>142875</xdr:rowOff>
    </xdr:to>
    <xdr:graphicFrame macro="">
      <xdr:nvGraphicFramePr>
        <xdr:cNvPr id="7" name="Chart 6">
          <a:extLst>
            <a:ext uri="{FF2B5EF4-FFF2-40B4-BE49-F238E27FC236}">
              <a16:creationId xmlns:a16="http://schemas.microsoft.com/office/drawing/2014/main" id="{935ACF81-3E37-4072-BE90-0957C8D15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533400</xdr:colOff>
      <xdr:row>13</xdr:row>
      <xdr:rowOff>19051</xdr:rowOff>
    </xdr:from>
    <xdr:to>
      <xdr:col>23</xdr:col>
      <xdr:colOff>213360</xdr:colOff>
      <xdr:row>22</xdr:row>
      <xdr:rowOff>38101</xdr:rowOff>
    </xdr:to>
    <mc:AlternateContent xmlns:mc="http://schemas.openxmlformats.org/markup-compatibility/2006" xmlns:a14="http://schemas.microsoft.com/office/drawing/2010/main">
      <mc:Choice Requires="a14">
        <xdr:graphicFrame macro="">
          <xdr:nvGraphicFramePr>
            <xdr:cNvPr id="8" name="Project city">
              <a:extLst>
                <a:ext uri="{FF2B5EF4-FFF2-40B4-BE49-F238E27FC236}">
                  <a16:creationId xmlns:a16="http://schemas.microsoft.com/office/drawing/2014/main" id="{33E8CDE4-A3F3-4B5F-893D-E6CBCC4D0B46}"/>
                </a:ext>
              </a:extLst>
            </xdr:cNvPr>
            <xdr:cNvGraphicFramePr/>
          </xdr:nvGraphicFramePr>
          <xdr:xfrm>
            <a:off x="0" y="0"/>
            <a:ext cx="0" cy="0"/>
          </xdr:xfrm>
          <a:graphic>
            <a:graphicData uri="http://schemas.microsoft.com/office/drawing/2010/slicer">
              <sle:slicer xmlns:sle="http://schemas.microsoft.com/office/drawing/2010/slicer" name="Project city"/>
            </a:graphicData>
          </a:graphic>
        </xdr:graphicFrame>
      </mc:Choice>
      <mc:Fallback xmlns="">
        <xdr:sp macro="" textlink="">
          <xdr:nvSpPr>
            <xdr:cNvPr id="0" name=""/>
            <xdr:cNvSpPr>
              <a:spLocks noTextEdit="1"/>
            </xdr:cNvSpPr>
          </xdr:nvSpPr>
          <xdr:spPr>
            <a:xfrm>
              <a:off x="12725400" y="2495551"/>
              <a:ext cx="150876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257175</xdr:colOff>
      <xdr:row>10</xdr:row>
      <xdr:rowOff>76199</xdr:rowOff>
    </xdr:from>
    <xdr:to>
      <xdr:col>19</xdr:col>
      <xdr:colOff>546735</xdr:colOff>
      <xdr:row>19</xdr:row>
      <xdr:rowOff>99059</xdr:rowOff>
    </xdr:to>
    <mc:AlternateContent xmlns:mc="http://schemas.openxmlformats.org/markup-compatibility/2006">
      <mc:Choice xmlns:a14="http://schemas.microsoft.com/office/drawing/2010/main" Requires="a14">
        <xdr:graphicFrame macro="">
          <xdr:nvGraphicFramePr>
            <xdr:cNvPr id="9" name="Project type">
              <a:extLst>
                <a:ext uri="{FF2B5EF4-FFF2-40B4-BE49-F238E27FC236}">
                  <a16:creationId xmlns:a16="http://schemas.microsoft.com/office/drawing/2014/main" id="{DBD4BBEC-7E4E-4E7C-A0E4-866056499883}"/>
                </a:ext>
              </a:extLst>
            </xdr:cNvPr>
            <xdr:cNvGraphicFramePr/>
          </xdr:nvGraphicFramePr>
          <xdr:xfrm>
            <a:off x="0" y="0"/>
            <a:ext cx="0" cy="0"/>
          </xdr:xfrm>
          <a:graphic>
            <a:graphicData uri="http://schemas.microsoft.com/office/drawing/2010/slicer">
              <sle:slicer xmlns:sle="http://schemas.microsoft.com/office/drawing/2010/slicer" name="Project type"/>
            </a:graphicData>
          </a:graphic>
        </xdr:graphicFrame>
      </mc:Choice>
      <mc:Fallback>
        <xdr:sp macro="" textlink="">
          <xdr:nvSpPr>
            <xdr:cNvPr id="0" name=""/>
            <xdr:cNvSpPr>
              <a:spLocks noTextEdit="1"/>
            </xdr:cNvSpPr>
          </xdr:nvSpPr>
          <xdr:spPr>
            <a:xfrm>
              <a:off x="10620375" y="1981199"/>
              <a:ext cx="1508760" cy="1737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142875</xdr:colOff>
      <xdr:row>23</xdr:row>
      <xdr:rowOff>47625</xdr:rowOff>
    </xdr:from>
    <xdr:to>
      <xdr:col>20</xdr:col>
      <xdr:colOff>432435</xdr:colOff>
      <xdr:row>30</xdr:row>
      <xdr:rowOff>19050</xdr:rowOff>
    </xdr:to>
    <mc:AlternateContent xmlns:mc="http://schemas.openxmlformats.org/markup-compatibility/2006" xmlns:a14="http://schemas.microsoft.com/office/drawing/2010/main">
      <mc:Choice Requires="a14">
        <xdr:graphicFrame macro="">
          <xdr:nvGraphicFramePr>
            <xdr:cNvPr id="10" name="Status">
              <a:extLst>
                <a:ext uri="{FF2B5EF4-FFF2-40B4-BE49-F238E27FC236}">
                  <a16:creationId xmlns:a16="http://schemas.microsoft.com/office/drawing/2014/main" id="{D2511A85-FEBA-4D2B-8B06-9A157FE0A8C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115675" y="4429125"/>
              <a:ext cx="150876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590550</xdr:colOff>
      <xdr:row>23</xdr:row>
      <xdr:rowOff>9525</xdr:rowOff>
    </xdr:from>
    <xdr:to>
      <xdr:col>23</xdr:col>
      <xdr:colOff>266700</xdr:colOff>
      <xdr:row>30</xdr:row>
      <xdr:rowOff>19050</xdr:rowOff>
    </xdr:to>
    <mc:AlternateContent xmlns:mc="http://schemas.openxmlformats.org/markup-compatibility/2006" xmlns:a14="http://schemas.microsoft.com/office/drawing/2010/main">
      <mc:Choice Requires="a14">
        <xdr:graphicFrame macro="">
          <xdr:nvGraphicFramePr>
            <xdr:cNvPr id="11" name="Estimated cost (NGN)">
              <a:extLst>
                <a:ext uri="{FF2B5EF4-FFF2-40B4-BE49-F238E27FC236}">
                  <a16:creationId xmlns:a16="http://schemas.microsoft.com/office/drawing/2014/main" id="{DB2FE673-DCCC-4DC4-B3B9-3736BD24DA69}"/>
                </a:ext>
              </a:extLst>
            </xdr:cNvPr>
            <xdr:cNvGraphicFramePr/>
          </xdr:nvGraphicFramePr>
          <xdr:xfrm>
            <a:off x="0" y="0"/>
            <a:ext cx="0" cy="0"/>
          </xdr:xfrm>
          <a:graphic>
            <a:graphicData uri="http://schemas.microsoft.com/office/drawing/2010/slicer">
              <sle:slicer xmlns:sle="http://schemas.microsoft.com/office/drawing/2010/slicer" name="Estimated cost (NGN)"/>
            </a:graphicData>
          </a:graphic>
        </xdr:graphicFrame>
      </mc:Choice>
      <mc:Fallback xmlns="">
        <xdr:sp macro="" textlink="">
          <xdr:nvSpPr>
            <xdr:cNvPr id="0" name=""/>
            <xdr:cNvSpPr>
              <a:spLocks noTextEdit="1"/>
            </xdr:cNvSpPr>
          </xdr:nvSpPr>
          <xdr:spPr>
            <a:xfrm>
              <a:off x="12782550" y="4391025"/>
              <a:ext cx="15049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552451</xdr:colOff>
      <xdr:row>6</xdr:row>
      <xdr:rowOff>9524</xdr:rowOff>
    </xdr:from>
    <xdr:to>
      <xdr:col>5</xdr:col>
      <xdr:colOff>290323</xdr:colOff>
      <xdr:row>8</xdr:row>
      <xdr:rowOff>131444</xdr:rowOff>
    </xdr:to>
    <xdr:sp macro="" textlink="">
      <xdr:nvSpPr>
        <xdr:cNvPr id="12" name="TextBox 11">
          <a:extLst>
            <a:ext uri="{FF2B5EF4-FFF2-40B4-BE49-F238E27FC236}">
              <a16:creationId xmlns:a16="http://schemas.microsoft.com/office/drawing/2014/main" id="{4FB5F2AE-1A16-4186-B02D-C0863284DDDA}"/>
            </a:ext>
          </a:extLst>
        </xdr:cNvPr>
        <xdr:cNvSpPr txBox="1"/>
      </xdr:nvSpPr>
      <xdr:spPr>
        <a:xfrm>
          <a:off x="1162051" y="1152524"/>
          <a:ext cx="2176272" cy="50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estimated cost of materials used</a:t>
          </a:r>
        </a:p>
      </xdr:txBody>
    </xdr:sp>
    <xdr:clientData/>
  </xdr:twoCellAnchor>
  <xdr:twoCellAnchor>
    <xdr:from>
      <xdr:col>2</xdr:col>
      <xdr:colOff>361950</xdr:colOff>
      <xdr:row>7</xdr:row>
      <xdr:rowOff>57150</xdr:rowOff>
    </xdr:from>
    <xdr:to>
      <xdr:col>3</xdr:col>
      <xdr:colOff>533400</xdr:colOff>
      <xdr:row>8</xdr:row>
      <xdr:rowOff>114300</xdr:rowOff>
    </xdr:to>
    <xdr:sp macro="" textlink="chat2!C10">
      <xdr:nvSpPr>
        <xdr:cNvPr id="13" name="TextBox 12">
          <a:extLst>
            <a:ext uri="{FF2B5EF4-FFF2-40B4-BE49-F238E27FC236}">
              <a16:creationId xmlns:a16="http://schemas.microsoft.com/office/drawing/2014/main" id="{B39CE73B-7258-40C0-9E27-9FA6E882D945}"/>
            </a:ext>
          </a:extLst>
        </xdr:cNvPr>
        <xdr:cNvSpPr txBox="1"/>
      </xdr:nvSpPr>
      <xdr:spPr>
        <a:xfrm>
          <a:off x="1581150" y="1390650"/>
          <a:ext cx="7810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7AA7D1-E6AE-42BA-8EBC-05DC6472BF70}" type="TxLink">
            <a:rPr lang="en-US" sz="1100" b="0" i="0" u="none" strike="noStrike">
              <a:solidFill>
                <a:srgbClr val="000000"/>
              </a:solidFill>
              <a:latin typeface="Calibri"/>
              <a:ea typeface="Calibri"/>
              <a:cs typeface="Calibri"/>
            </a:rPr>
            <a:pPr/>
            <a:t>28423394.4</a:t>
          </a:fld>
          <a:endParaRPr lang="en-US" sz="1100"/>
        </a:p>
      </xdr:txBody>
    </xdr:sp>
    <xdr:clientData/>
  </xdr:twoCellAnchor>
  <xdr:twoCellAnchor>
    <xdr:from>
      <xdr:col>10</xdr:col>
      <xdr:colOff>581025</xdr:colOff>
      <xdr:row>6</xdr:row>
      <xdr:rowOff>76200</xdr:rowOff>
    </xdr:from>
    <xdr:to>
      <xdr:col>14</xdr:col>
      <xdr:colOff>314324</xdr:colOff>
      <xdr:row>9</xdr:row>
      <xdr:rowOff>9525</xdr:rowOff>
    </xdr:to>
    <xdr:sp macro="" textlink="">
      <xdr:nvSpPr>
        <xdr:cNvPr id="14" name="TextBox 13">
          <a:extLst>
            <a:ext uri="{FF2B5EF4-FFF2-40B4-BE49-F238E27FC236}">
              <a16:creationId xmlns:a16="http://schemas.microsoft.com/office/drawing/2014/main" id="{53BB6125-7EF5-45E3-968B-4F0343C71574}"/>
            </a:ext>
          </a:extLst>
        </xdr:cNvPr>
        <xdr:cNvSpPr txBox="1"/>
      </xdr:nvSpPr>
      <xdr:spPr>
        <a:xfrm>
          <a:off x="6677025" y="1219200"/>
          <a:ext cx="2171699" cy="5048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estimated</a:t>
          </a:r>
          <a:r>
            <a:rPr lang="en-US" sz="1100" baseline="0"/>
            <a:t> cost by project city</a:t>
          </a:r>
          <a:endParaRPr lang="en-US" sz="1100"/>
        </a:p>
      </xdr:txBody>
    </xdr:sp>
    <xdr:clientData/>
  </xdr:twoCellAnchor>
  <xdr:twoCellAnchor>
    <xdr:from>
      <xdr:col>11</xdr:col>
      <xdr:colOff>0</xdr:colOff>
      <xdr:row>7</xdr:row>
      <xdr:rowOff>114300</xdr:rowOff>
    </xdr:from>
    <xdr:to>
      <xdr:col>12</xdr:col>
      <xdr:colOff>257175</xdr:colOff>
      <xdr:row>9</xdr:row>
      <xdr:rowOff>0</xdr:rowOff>
    </xdr:to>
    <xdr:sp macro="" textlink="chat4!C9">
      <xdr:nvSpPr>
        <xdr:cNvPr id="15" name="TextBox 14">
          <a:extLst>
            <a:ext uri="{FF2B5EF4-FFF2-40B4-BE49-F238E27FC236}">
              <a16:creationId xmlns:a16="http://schemas.microsoft.com/office/drawing/2014/main" id="{131C65F2-C656-41A9-828B-9B09FC3E56D5}"/>
            </a:ext>
          </a:extLst>
        </xdr:cNvPr>
        <xdr:cNvSpPr txBox="1"/>
      </xdr:nvSpPr>
      <xdr:spPr>
        <a:xfrm>
          <a:off x="6705600" y="1447800"/>
          <a:ext cx="866775"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D535B4-CCBE-45F5-BB6F-EFD0D09BD0AE}" type="TxLink">
            <a:rPr lang="en-US" sz="1100" b="0" i="0" u="none" strike="noStrike">
              <a:solidFill>
                <a:srgbClr val="000000"/>
              </a:solidFill>
              <a:latin typeface="Calibri"/>
              <a:ea typeface="Calibri"/>
              <a:cs typeface="Calibri"/>
            </a:rPr>
            <a:pPr/>
            <a:t>391058956</a:t>
          </a:fld>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9526</xdr:colOff>
      <xdr:row>0</xdr:row>
      <xdr:rowOff>0</xdr:rowOff>
    </xdr:from>
    <xdr:to>
      <xdr:col>21</xdr:col>
      <xdr:colOff>581026</xdr:colOff>
      <xdr:row>27</xdr:row>
      <xdr:rowOff>171450</xdr:rowOff>
    </xdr:to>
    <xdr:sp macro="" textlink="">
      <xdr:nvSpPr>
        <xdr:cNvPr id="3" name="Rectangle: Rounded Corners 2">
          <a:extLst>
            <a:ext uri="{FF2B5EF4-FFF2-40B4-BE49-F238E27FC236}">
              <a16:creationId xmlns:a16="http://schemas.microsoft.com/office/drawing/2014/main" id="{35001923-BB05-47ED-9EA8-FB634E21013A}"/>
            </a:ext>
          </a:extLst>
        </xdr:cNvPr>
        <xdr:cNvSpPr/>
      </xdr:nvSpPr>
      <xdr:spPr>
        <a:xfrm>
          <a:off x="9526" y="0"/>
          <a:ext cx="13373100" cy="5314950"/>
        </a:xfrm>
        <a:prstGeom prst="roundRect">
          <a:avLst>
            <a:gd name="adj" fmla="val 1639"/>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0</xdr:row>
      <xdr:rowOff>47625</xdr:rowOff>
    </xdr:from>
    <xdr:to>
      <xdr:col>21</xdr:col>
      <xdr:colOff>476251</xdr:colOff>
      <xdr:row>27</xdr:row>
      <xdr:rowOff>38100</xdr:rowOff>
    </xdr:to>
    <xdr:sp macro="" textlink="">
      <xdr:nvSpPr>
        <xdr:cNvPr id="4" name="Rectangle: Rounded Corners 3">
          <a:extLst>
            <a:ext uri="{FF2B5EF4-FFF2-40B4-BE49-F238E27FC236}">
              <a16:creationId xmlns:a16="http://schemas.microsoft.com/office/drawing/2014/main" id="{1C3784F6-FFFC-4FD4-8D6F-3F9EEB0D3432}"/>
            </a:ext>
          </a:extLst>
        </xdr:cNvPr>
        <xdr:cNvSpPr/>
      </xdr:nvSpPr>
      <xdr:spPr>
        <a:xfrm>
          <a:off x="114301" y="47625"/>
          <a:ext cx="13163550" cy="5133975"/>
        </a:xfrm>
        <a:prstGeom prst="roundRect">
          <a:avLst>
            <a:gd name="adj" fmla="val 3205"/>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323850</xdr:colOff>
      <xdr:row>1</xdr:row>
      <xdr:rowOff>66675</xdr:rowOff>
    </xdr:from>
    <xdr:to>
      <xdr:col>3</xdr:col>
      <xdr:colOff>9525</xdr:colOff>
      <xdr:row>3</xdr:row>
      <xdr:rowOff>38100</xdr:rowOff>
    </xdr:to>
    <xdr:sp macro="" textlink="">
      <xdr:nvSpPr>
        <xdr:cNvPr id="5" name="TextBox 4">
          <a:extLst>
            <a:ext uri="{FF2B5EF4-FFF2-40B4-BE49-F238E27FC236}">
              <a16:creationId xmlns:a16="http://schemas.microsoft.com/office/drawing/2014/main" id="{6F76DA8F-C8AE-4D16-B236-BA68A112D11F}"/>
            </a:ext>
          </a:extLst>
        </xdr:cNvPr>
        <xdr:cNvSpPr txBox="1"/>
      </xdr:nvSpPr>
      <xdr:spPr>
        <a:xfrm>
          <a:off x="323850" y="257175"/>
          <a:ext cx="1514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franca's presentation</a:t>
          </a:r>
        </a:p>
      </xdr:txBody>
    </xdr:sp>
    <xdr:clientData/>
  </xdr:twoCellAnchor>
  <xdr:twoCellAnchor>
    <xdr:from>
      <xdr:col>5</xdr:col>
      <xdr:colOff>514351</xdr:colOff>
      <xdr:row>0</xdr:row>
      <xdr:rowOff>104775</xdr:rowOff>
    </xdr:from>
    <xdr:to>
      <xdr:col>9</xdr:col>
      <xdr:colOff>228601</xdr:colOff>
      <xdr:row>2</xdr:row>
      <xdr:rowOff>9525</xdr:rowOff>
    </xdr:to>
    <xdr:sp macro="" textlink="">
      <xdr:nvSpPr>
        <xdr:cNvPr id="6" name="TextBox 5">
          <a:extLst>
            <a:ext uri="{FF2B5EF4-FFF2-40B4-BE49-F238E27FC236}">
              <a16:creationId xmlns:a16="http://schemas.microsoft.com/office/drawing/2014/main" id="{DC40393F-70D6-48D2-906D-C7084C93B2AB}"/>
            </a:ext>
          </a:extLst>
        </xdr:cNvPr>
        <xdr:cNvSpPr txBox="1"/>
      </xdr:nvSpPr>
      <xdr:spPr>
        <a:xfrm>
          <a:off x="3562351" y="104775"/>
          <a:ext cx="21526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Dashboard presentation</a:t>
          </a:r>
        </a:p>
      </xdr:txBody>
    </xdr:sp>
    <xdr:clientData/>
  </xdr:twoCellAnchor>
  <xdr:twoCellAnchor>
    <xdr:from>
      <xdr:col>0</xdr:col>
      <xdr:colOff>257175</xdr:colOff>
      <xdr:row>16</xdr:row>
      <xdr:rowOff>142875</xdr:rowOff>
    </xdr:from>
    <xdr:to>
      <xdr:col>7</xdr:col>
      <xdr:colOff>361950</xdr:colOff>
      <xdr:row>26</xdr:row>
      <xdr:rowOff>123825</xdr:rowOff>
    </xdr:to>
    <xdr:sp macro="" textlink="">
      <xdr:nvSpPr>
        <xdr:cNvPr id="7" name="Rectangle: Rounded Corners 6">
          <a:extLst>
            <a:ext uri="{FF2B5EF4-FFF2-40B4-BE49-F238E27FC236}">
              <a16:creationId xmlns:a16="http://schemas.microsoft.com/office/drawing/2014/main" id="{F11531C2-AFB6-4F71-B1E9-B150EE6B2F47}"/>
            </a:ext>
          </a:extLst>
        </xdr:cNvPr>
        <xdr:cNvSpPr/>
      </xdr:nvSpPr>
      <xdr:spPr>
        <a:xfrm>
          <a:off x="257175" y="3190875"/>
          <a:ext cx="4371975" cy="1885950"/>
        </a:xfrm>
        <a:prstGeom prst="roundRect">
          <a:avLst/>
        </a:prstGeom>
        <a:solidFill>
          <a:schemeClr val="accent3"/>
        </a:solidFill>
        <a:effectLst>
          <a:innerShdw blurRad="114300">
            <a:prstClr val="black"/>
          </a:inn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209549</xdr:colOff>
      <xdr:row>16</xdr:row>
      <xdr:rowOff>142875</xdr:rowOff>
    </xdr:from>
    <xdr:to>
      <xdr:col>15</xdr:col>
      <xdr:colOff>314324</xdr:colOff>
      <xdr:row>26</xdr:row>
      <xdr:rowOff>123825</xdr:rowOff>
    </xdr:to>
    <xdr:sp macro="" textlink="">
      <xdr:nvSpPr>
        <xdr:cNvPr id="8" name="Rectangle: Rounded Corners 7">
          <a:extLst>
            <a:ext uri="{FF2B5EF4-FFF2-40B4-BE49-F238E27FC236}">
              <a16:creationId xmlns:a16="http://schemas.microsoft.com/office/drawing/2014/main" id="{A0DA4446-7808-4CE9-9707-774827BC23FD}"/>
            </a:ext>
          </a:extLst>
        </xdr:cNvPr>
        <xdr:cNvSpPr/>
      </xdr:nvSpPr>
      <xdr:spPr>
        <a:xfrm>
          <a:off x="5086349" y="3190875"/>
          <a:ext cx="4371975" cy="1885950"/>
        </a:xfrm>
        <a:prstGeom prst="roundRect">
          <a:avLst/>
        </a:prstGeom>
        <a:solidFill>
          <a:schemeClr val="accent3"/>
        </a:solidFill>
        <a:effectLst>
          <a:innerShdw blurRad="114300">
            <a:prstClr val="black"/>
          </a:inn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228599</xdr:colOff>
      <xdr:row>6</xdr:row>
      <xdr:rowOff>28575</xdr:rowOff>
    </xdr:from>
    <xdr:to>
      <xdr:col>7</xdr:col>
      <xdr:colOff>333374</xdr:colOff>
      <xdr:row>16</xdr:row>
      <xdr:rowOff>9525</xdr:rowOff>
    </xdr:to>
    <xdr:sp macro="" textlink="">
      <xdr:nvSpPr>
        <xdr:cNvPr id="9" name="Rectangle: Rounded Corners 8">
          <a:extLst>
            <a:ext uri="{FF2B5EF4-FFF2-40B4-BE49-F238E27FC236}">
              <a16:creationId xmlns:a16="http://schemas.microsoft.com/office/drawing/2014/main" id="{AD64FECD-4EC4-4994-B3A7-A3CA5EB39C7E}"/>
            </a:ext>
          </a:extLst>
        </xdr:cNvPr>
        <xdr:cNvSpPr/>
      </xdr:nvSpPr>
      <xdr:spPr>
        <a:xfrm>
          <a:off x="228599" y="1171575"/>
          <a:ext cx="4371975" cy="1885950"/>
        </a:xfrm>
        <a:prstGeom prst="roundRect">
          <a:avLst/>
        </a:prstGeom>
        <a:solidFill>
          <a:schemeClr val="accent3"/>
        </a:solidFill>
        <a:effectLst>
          <a:innerShdw blurRad="114300">
            <a:prstClr val="black"/>
          </a:inn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114299</xdr:colOff>
      <xdr:row>6</xdr:row>
      <xdr:rowOff>38100</xdr:rowOff>
    </xdr:from>
    <xdr:to>
      <xdr:col>15</xdr:col>
      <xdr:colOff>219074</xdr:colOff>
      <xdr:row>16</xdr:row>
      <xdr:rowOff>19050</xdr:rowOff>
    </xdr:to>
    <xdr:sp macro="" textlink="">
      <xdr:nvSpPr>
        <xdr:cNvPr id="10" name="Rectangle: Rounded Corners 9">
          <a:extLst>
            <a:ext uri="{FF2B5EF4-FFF2-40B4-BE49-F238E27FC236}">
              <a16:creationId xmlns:a16="http://schemas.microsoft.com/office/drawing/2014/main" id="{9E6E7D95-8658-402C-92B6-8C459F87F32A}"/>
            </a:ext>
          </a:extLst>
        </xdr:cNvPr>
        <xdr:cNvSpPr/>
      </xdr:nvSpPr>
      <xdr:spPr>
        <a:xfrm>
          <a:off x="4991099" y="1181100"/>
          <a:ext cx="4371975" cy="1885950"/>
        </a:xfrm>
        <a:prstGeom prst="roundRect">
          <a:avLst/>
        </a:prstGeom>
        <a:solidFill>
          <a:schemeClr val="accent3"/>
        </a:solidFill>
        <a:effectLst>
          <a:innerShdw blurRad="114300">
            <a:prstClr val="black"/>
          </a:innerShdw>
        </a:effectLst>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6</xdr:row>
      <xdr:rowOff>28575</xdr:rowOff>
    </xdr:from>
    <xdr:to>
      <xdr:col>7</xdr:col>
      <xdr:colOff>47626</xdr:colOff>
      <xdr:row>15</xdr:row>
      <xdr:rowOff>123825</xdr:rowOff>
    </xdr:to>
    <xdr:graphicFrame macro="">
      <xdr:nvGraphicFramePr>
        <xdr:cNvPr id="11" name="Chart 10">
          <a:extLst>
            <a:ext uri="{FF2B5EF4-FFF2-40B4-BE49-F238E27FC236}">
              <a16:creationId xmlns:a16="http://schemas.microsoft.com/office/drawing/2014/main" id="{DE25612B-BC36-4255-8153-4A4841353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390525</xdr:colOff>
      <xdr:row>6</xdr:row>
      <xdr:rowOff>104775</xdr:rowOff>
    </xdr:from>
    <xdr:to>
      <xdr:col>14</xdr:col>
      <xdr:colOff>552450</xdr:colOff>
      <xdr:row>15</xdr:row>
      <xdr:rowOff>95251</xdr:rowOff>
    </xdr:to>
    <xdr:graphicFrame macro="">
      <xdr:nvGraphicFramePr>
        <xdr:cNvPr id="12" name="Chart 11">
          <a:extLst>
            <a:ext uri="{FF2B5EF4-FFF2-40B4-BE49-F238E27FC236}">
              <a16:creationId xmlns:a16="http://schemas.microsoft.com/office/drawing/2014/main" id="{81FCDB64-A491-49D9-AE60-16804A2C1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504825</xdr:colOff>
      <xdr:row>16</xdr:row>
      <xdr:rowOff>142875</xdr:rowOff>
    </xdr:from>
    <xdr:to>
      <xdr:col>6</xdr:col>
      <xdr:colOff>476250</xdr:colOff>
      <xdr:row>26</xdr:row>
      <xdr:rowOff>104775</xdr:rowOff>
    </xdr:to>
    <xdr:graphicFrame macro="">
      <xdr:nvGraphicFramePr>
        <xdr:cNvPr id="13" name="Chart 12">
          <a:extLst>
            <a:ext uri="{FF2B5EF4-FFF2-40B4-BE49-F238E27FC236}">
              <a16:creationId xmlns:a16="http://schemas.microsoft.com/office/drawing/2014/main" id="{1C64A351-BC22-4B9B-8AFC-37FE7D520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542925</xdr:colOff>
      <xdr:row>16</xdr:row>
      <xdr:rowOff>180975</xdr:rowOff>
    </xdr:from>
    <xdr:to>
      <xdr:col>14</xdr:col>
      <xdr:colOff>539113</xdr:colOff>
      <xdr:row>26</xdr:row>
      <xdr:rowOff>76200</xdr:rowOff>
    </xdr:to>
    <xdr:graphicFrame macro="">
      <xdr:nvGraphicFramePr>
        <xdr:cNvPr id="14" name="Chart 13">
          <a:extLst>
            <a:ext uri="{FF2B5EF4-FFF2-40B4-BE49-F238E27FC236}">
              <a16:creationId xmlns:a16="http://schemas.microsoft.com/office/drawing/2014/main" id="{472CDBD6-D969-44F7-8B8A-B1F6EC003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171448</xdr:colOff>
      <xdr:row>2</xdr:row>
      <xdr:rowOff>180975</xdr:rowOff>
    </xdr:from>
    <xdr:to>
      <xdr:col>5</xdr:col>
      <xdr:colOff>537208</xdr:colOff>
      <xdr:row>5</xdr:row>
      <xdr:rowOff>114300</xdr:rowOff>
    </xdr:to>
    <xdr:sp macro="" textlink="">
      <xdr:nvSpPr>
        <xdr:cNvPr id="16" name="Rectangle: Rounded Corners 15">
          <a:extLst>
            <a:ext uri="{FF2B5EF4-FFF2-40B4-BE49-F238E27FC236}">
              <a16:creationId xmlns:a16="http://schemas.microsoft.com/office/drawing/2014/main" id="{FC487B01-F123-492F-93D8-7A84AEE1B247}"/>
            </a:ext>
          </a:extLst>
        </xdr:cNvPr>
        <xdr:cNvSpPr/>
      </xdr:nvSpPr>
      <xdr:spPr>
        <a:xfrm>
          <a:off x="1390648" y="561975"/>
          <a:ext cx="2194560" cy="504825"/>
        </a:xfrm>
        <a:prstGeom prst="roundRect">
          <a:avLst/>
        </a:prstGeom>
        <a:solidFill>
          <a:schemeClr val="accent3">
            <a:alpha val="50000"/>
          </a:schemeClr>
        </a:solidFill>
        <a:effectLst>
          <a:outerShdw blurRad="50800" dist="38100" dir="10800000" sx="101000" sy="101000" algn="r"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xdr:colOff>
      <xdr:row>2</xdr:row>
      <xdr:rowOff>180975</xdr:rowOff>
    </xdr:from>
    <xdr:to>
      <xdr:col>13</xdr:col>
      <xdr:colOff>381000</xdr:colOff>
      <xdr:row>5</xdr:row>
      <xdr:rowOff>114300</xdr:rowOff>
    </xdr:to>
    <xdr:sp macro="" textlink="">
      <xdr:nvSpPr>
        <xdr:cNvPr id="17" name="Rectangle: Rounded Corners 16">
          <a:extLst>
            <a:ext uri="{FF2B5EF4-FFF2-40B4-BE49-F238E27FC236}">
              <a16:creationId xmlns:a16="http://schemas.microsoft.com/office/drawing/2014/main" id="{5D6800C9-627E-45C3-89E3-F7BFA5D2D13E}"/>
            </a:ext>
          </a:extLst>
        </xdr:cNvPr>
        <xdr:cNvSpPr/>
      </xdr:nvSpPr>
      <xdr:spPr>
        <a:xfrm>
          <a:off x="6115050" y="561975"/>
          <a:ext cx="2190750" cy="504825"/>
        </a:xfrm>
        <a:prstGeom prst="roundRect">
          <a:avLst/>
        </a:prstGeom>
        <a:solidFill>
          <a:schemeClr val="accent3">
            <a:alpha val="50000"/>
          </a:schemeClr>
        </a:solidFill>
        <a:effectLst>
          <a:outerShdw blurRad="50800" dist="38100" dir="13500000" sx="101000" sy="101000" algn="br"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342899</xdr:colOff>
      <xdr:row>7</xdr:row>
      <xdr:rowOff>114299</xdr:rowOff>
    </xdr:from>
    <xdr:to>
      <xdr:col>18</xdr:col>
      <xdr:colOff>22859</xdr:colOff>
      <xdr:row>14</xdr:row>
      <xdr:rowOff>179831</xdr:rowOff>
    </xdr:to>
    <mc:AlternateContent xmlns:mc="http://schemas.openxmlformats.org/markup-compatibility/2006">
      <mc:Choice xmlns:a14="http://schemas.microsoft.com/office/drawing/2010/main" Requires="a14">
        <xdr:graphicFrame macro="">
          <xdr:nvGraphicFramePr>
            <xdr:cNvPr id="21" name="Project type 1">
              <a:extLst>
                <a:ext uri="{FF2B5EF4-FFF2-40B4-BE49-F238E27FC236}">
                  <a16:creationId xmlns:a16="http://schemas.microsoft.com/office/drawing/2014/main" id="{D627B4E2-49D6-4FCC-AE45-1E8A83026D04}"/>
                </a:ext>
              </a:extLst>
            </xdr:cNvPr>
            <xdr:cNvGraphicFramePr/>
          </xdr:nvGraphicFramePr>
          <xdr:xfrm>
            <a:off x="0" y="0"/>
            <a:ext cx="0" cy="0"/>
          </xdr:xfrm>
          <a:graphic>
            <a:graphicData uri="http://schemas.microsoft.com/office/drawing/2010/slicer">
              <sle:slicer xmlns:sle="http://schemas.microsoft.com/office/drawing/2010/slicer" name="Project type 1"/>
            </a:graphicData>
          </a:graphic>
        </xdr:graphicFrame>
      </mc:Choice>
      <mc:Fallback>
        <xdr:sp macro="" textlink="">
          <xdr:nvSpPr>
            <xdr:cNvPr id="0" name=""/>
            <xdr:cNvSpPr>
              <a:spLocks noTextEdit="1"/>
            </xdr:cNvSpPr>
          </xdr:nvSpPr>
          <xdr:spPr>
            <a:xfrm>
              <a:off x="9486899" y="1447799"/>
              <a:ext cx="1508760" cy="1399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18</xdr:row>
      <xdr:rowOff>0</xdr:rowOff>
    </xdr:from>
    <xdr:to>
      <xdr:col>18</xdr:col>
      <xdr:colOff>99060</xdr:colOff>
      <xdr:row>25</xdr:row>
      <xdr:rowOff>66675</xdr:rowOff>
    </xdr:to>
    <mc:AlternateContent xmlns:mc="http://schemas.openxmlformats.org/markup-compatibility/2006">
      <mc:Choice xmlns:a14="http://schemas.microsoft.com/office/drawing/2010/main" Requires="a14">
        <xdr:graphicFrame macro="">
          <xdr:nvGraphicFramePr>
            <xdr:cNvPr id="22" name="Project city 1">
              <a:extLst>
                <a:ext uri="{FF2B5EF4-FFF2-40B4-BE49-F238E27FC236}">
                  <a16:creationId xmlns:a16="http://schemas.microsoft.com/office/drawing/2014/main" id="{4967AFF2-63AB-4900-B0EF-BFC9F7F663D9}"/>
                </a:ext>
              </a:extLst>
            </xdr:cNvPr>
            <xdr:cNvGraphicFramePr/>
          </xdr:nvGraphicFramePr>
          <xdr:xfrm>
            <a:off x="0" y="0"/>
            <a:ext cx="0" cy="0"/>
          </xdr:xfrm>
          <a:graphic>
            <a:graphicData uri="http://schemas.microsoft.com/office/drawing/2010/slicer">
              <sle:slicer xmlns:sle="http://schemas.microsoft.com/office/drawing/2010/slicer" name="Project city 1"/>
            </a:graphicData>
          </a:graphic>
        </xdr:graphicFrame>
      </mc:Choice>
      <mc:Fallback>
        <xdr:sp macro="" textlink="">
          <xdr:nvSpPr>
            <xdr:cNvPr id="0" name=""/>
            <xdr:cNvSpPr>
              <a:spLocks noTextEdit="1"/>
            </xdr:cNvSpPr>
          </xdr:nvSpPr>
          <xdr:spPr>
            <a:xfrm>
              <a:off x="9563100" y="3429000"/>
              <a:ext cx="150876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171450</xdr:colOff>
      <xdr:row>7</xdr:row>
      <xdr:rowOff>161924</xdr:rowOff>
    </xdr:from>
    <xdr:to>
      <xdr:col>20</xdr:col>
      <xdr:colOff>461010</xdr:colOff>
      <xdr:row>15</xdr:row>
      <xdr:rowOff>36956</xdr:rowOff>
    </xdr:to>
    <mc:AlternateContent xmlns:mc="http://schemas.openxmlformats.org/markup-compatibility/2006">
      <mc:Choice xmlns:a14="http://schemas.microsoft.com/office/drawing/2010/main" Requires="a14">
        <xdr:graphicFrame macro="">
          <xdr:nvGraphicFramePr>
            <xdr:cNvPr id="23" name="Status 1">
              <a:extLst>
                <a:ext uri="{FF2B5EF4-FFF2-40B4-BE49-F238E27FC236}">
                  <a16:creationId xmlns:a16="http://schemas.microsoft.com/office/drawing/2014/main" id="{0B337014-61EA-4E43-8D5E-9C142273BE5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1144250" y="1495424"/>
              <a:ext cx="1508760" cy="1399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276225</xdr:colOff>
      <xdr:row>18</xdr:row>
      <xdr:rowOff>9524</xdr:rowOff>
    </xdr:from>
    <xdr:to>
      <xdr:col>20</xdr:col>
      <xdr:colOff>561975</xdr:colOff>
      <xdr:row>25</xdr:row>
      <xdr:rowOff>75056</xdr:rowOff>
    </xdr:to>
    <mc:AlternateContent xmlns:mc="http://schemas.openxmlformats.org/markup-compatibility/2006">
      <mc:Choice xmlns:a14="http://schemas.microsoft.com/office/drawing/2010/main" Requires="a14">
        <xdr:graphicFrame macro="">
          <xdr:nvGraphicFramePr>
            <xdr:cNvPr id="24" name="Estimated cost (NGN) 1">
              <a:extLst>
                <a:ext uri="{FF2B5EF4-FFF2-40B4-BE49-F238E27FC236}">
                  <a16:creationId xmlns:a16="http://schemas.microsoft.com/office/drawing/2014/main" id="{C273A790-AACB-438A-8053-D5D6A6A610C9}"/>
                </a:ext>
              </a:extLst>
            </xdr:cNvPr>
            <xdr:cNvGraphicFramePr/>
          </xdr:nvGraphicFramePr>
          <xdr:xfrm>
            <a:off x="0" y="0"/>
            <a:ext cx="0" cy="0"/>
          </xdr:xfrm>
          <a:graphic>
            <a:graphicData uri="http://schemas.microsoft.com/office/drawing/2010/slicer">
              <sle:slicer xmlns:sle="http://schemas.microsoft.com/office/drawing/2010/slicer" name="Estimated cost (NGN) 1"/>
            </a:graphicData>
          </a:graphic>
        </xdr:graphicFrame>
      </mc:Choice>
      <mc:Fallback>
        <xdr:sp macro="" textlink="">
          <xdr:nvSpPr>
            <xdr:cNvPr id="0" name=""/>
            <xdr:cNvSpPr>
              <a:spLocks noTextEdit="1"/>
            </xdr:cNvSpPr>
          </xdr:nvSpPr>
          <xdr:spPr>
            <a:xfrm>
              <a:off x="11249025" y="3438524"/>
              <a:ext cx="1504950" cy="1399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57150</xdr:colOff>
      <xdr:row>2</xdr:row>
      <xdr:rowOff>171451</xdr:rowOff>
    </xdr:from>
    <xdr:to>
      <xdr:col>13</xdr:col>
      <xdr:colOff>457199</xdr:colOff>
      <xdr:row>5</xdr:row>
      <xdr:rowOff>38101</xdr:rowOff>
    </xdr:to>
    <xdr:sp macro="" textlink="">
      <xdr:nvSpPr>
        <xdr:cNvPr id="26" name="TextBox 25">
          <a:extLst>
            <a:ext uri="{FF2B5EF4-FFF2-40B4-BE49-F238E27FC236}">
              <a16:creationId xmlns:a16="http://schemas.microsoft.com/office/drawing/2014/main" id="{5FA77F01-6D19-4ED2-91C0-4CDC23F50217}"/>
            </a:ext>
          </a:extLst>
        </xdr:cNvPr>
        <xdr:cNvSpPr txBox="1"/>
      </xdr:nvSpPr>
      <xdr:spPr>
        <a:xfrm>
          <a:off x="6153150" y="552451"/>
          <a:ext cx="2228849"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estimated</a:t>
          </a:r>
          <a:r>
            <a:rPr lang="en-US" sz="1100" baseline="0"/>
            <a:t> cost by project city</a:t>
          </a:r>
          <a:endParaRPr lang="en-US" sz="1100"/>
        </a:p>
      </xdr:txBody>
    </xdr:sp>
    <xdr:clientData/>
  </xdr:twoCellAnchor>
  <xdr:twoCellAnchor>
    <xdr:from>
      <xdr:col>10</xdr:col>
      <xdr:colOff>190500</xdr:colOff>
      <xdr:row>4</xdr:row>
      <xdr:rowOff>0</xdr:rowOff>
    </xdr:from>
    <xdr:to>
      <xdr:col>11</xdr:col>
      <xdr:colOff>447675</xdr:colOff>
      <xdr:row>5</xdr:row>
      <xdr:rowOff>76200</xdr:rowOff>
    </xdr:to>
    <xdr:sp macro="" textlink="chat4!C9">
      <xdr:nvSpPr>
        <xdr:cNvPr id="27" name="TextBox 26">
          <a:extLst>
            <a:ext uri="{FF2B5EF4-FFF2-40B4-BE49-F238E27FC236}">
              <a16:creationId xmlns:a16="http://schemas.microsoft.com/office/drawing/2014/main" id="{AF1C59DF-5321-4783-A73E-8263B55DBF9B}"/>
            </a:ext>
          </a:extLst>
        </xdr:cNvPr>
        <xdr:cNvSpPr txBox="1"/>
      </xdr:nvSpPr>
      <xdr:spPr>
        <a:xfrm>
          <a:off x="6286500" y="762000"/>
          <a:ext cx="8667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D535B4-CCBE-45F5-BB6F-EFD0D09BD0AE}" type="TxLink">
            <a:rPr lang="en-US" sz="1100" b="0" i="0" u="none" strike="noStrike">
              <a:solidFill>
                <a:srgbClr val="000000"/>
              </a:solidFill>
              <a:latin typeface="Calibri"/>
              <a:ea typeface="Calibri"/>
              <a:cs typeface="Calibri"/>
            </a:rPr>
            <a:pPr/>
            <a:t>391058956</a:t>
          </a:fld>
          <a:endParaRPr lang="en-US" sz="1100"/>
        </a:p>
      </xdr:txBody>
    </xdr:sp>
    <xdr:clientData/>
  </xdr:twoCellAnchor>
  <xdr:twoCellAnchor>
    <xdr:from>
      <xdr:col>2</xdr:col>
      <xdr:colOff>295275</xdr:colOff>
      <xdr:row>4</xdr:row>
      <xdr:rowOff>9525</xdr:rowOff>
    </xdr:from>
    <xdr:to>
      <xdr:col>3</xdr:col>
      <xdr:colOff>552450</xdr:colOff>
      <xdr:row>5</xdr:row>
      <xdr:rowOff>85725</xdr:rowOff>
    </xdr:to>
    <xdr:sp macro="" textlink="chat4!C9">
      <xdr:nvSpPr>
        <xdr:cNvPr id="28" name="TextBox 27">
          <a:extLst>
            <a:ext uri="{FF2B5EF4-FFF2-40B4-BE49-F238E27FC236}">
              <a16:creationId xmlns:a16="http://schemas.microsoft.com/office/drawing/2014/main" id="{3DC4913B-D8B8-4034-A260-891D5D4C2018}"/>
            </a:ext>
          </a:extLst>
        </xdr:cNvPr>
        <xdr:cNvSpPr txBox="1"/>
      </xdr:nvSpPr>
      <xdr:spPr>
        <a:xfrm>
          <a:off x="1514475" y="771525"/>
          <a:ext cx="8667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D535B4-CCBE-45F5-BB6F-EFD0D09BD0AE}" type="TxLink">
            <a:rPr lang="en-US" sz="1100" b="0" i="0" u="none" strike="noStrike">
              <a:solidFill>
                <a:srgbClr val="000000"/>
              </a:solidFill>
              <a:latin typeface="Calibri"/>
              <a:ea typeface="Calibri"/>
              <a:cs typeface="Calibri"/>
            </a:rPr>
            <a:pPr/>
            <a:t>391058956</a:t>
          </a:fld>
          <a:endParaRPr lang="en-US" sz="1100"/>
        </a:p>
      </xdr:txBody>
    </xdr:sp>
    <xdr:clientData/>
  </xdr:twoCellAnchor>
  <xdr:twoCellAnchor>
    <xdr:from>
      <xdr:col>2</xdr:col>
      <xdr:colOff>219075</xdr:colOff>
      <xdr:row>3</xdr:row>
      <xdr:rowOff>9525</xdr:rowOff>
    </xdr:from>
    <xdr:to>
      <xdr:col>5</xdr:col>
      <xdr:colOff>542925</xdr:colOff>
      <xdr:row>5</xdr:row>
      <xdr:rowOff>28575</xdr:rowOff>
    </xdr:to>
    <xdr:sp macro="" textlink="">
      <xdr:nvSpPr>
        <xdr:cNvPr id="29" name="TextBox 28">
          <a:extLst>
            <a:ext uri="{FF2B5EF4-FFF2-40B4-BE49-F238E27FC236}">
              <a16:creationId xmlns:a16="http://schemas.microsoft.com/office/drawing/2014/main" id="{BDE3AEC2-3396-4F9A-ABF6-915A8FD6629A}"/>
            </a:ext>
          </a:extLst>
        </xdr:cNvPr>
        <xdr:cNvSpPr txBox="1"/>
      </xdr:nvSpPr>
      <xdr:spPr>
        <a:xfrm>
          <a:off x="1438275" y="581025"/>
          <a:ext cx="21526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estimated cost of materials used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TITUDE 7290" refreshedDate="46080.840909259263" createdVersion="7" refreshedVersion="7" minRefreshableVersion="3" recordCount="105" xr:uid="{3F018FCC-AE38-4422-9057-7CA5119B1C02}">
  <cacheSource type="worksheet">
    <worksheetSource name="Sheet1__4"/>
  </cacheSource>
  <cacheFields count="10">
    <cacheField name="Project ID" numFmtId="0">
      <sharedItems containsSemiMixedTypes="0" containsString="0" containsNumber="1" containsInteger="1" minValue="200" maxValue="215"/>
    </cacheField>
    <cacheField name="Project city" numFmtId="0">
      <sharedItems count="5">
        <s v="Lagos"/>
        <s v="Enugu"/>
        <s v="Port Harcourt"/>
        <s v="Owerri"/>
        <s v="Abuja"/>
      </sharedItems>
    </cacheField>
    <cacheField name="Project type" numFmtId="0">
      <sharedItems count="5">
        <s v="Bridge"/>
        <s v="Estate"/>
        <s v="Factory"/>
        <s v="Mall"/>
        <s v="Road"/>
      </sharedItems>
    </cacheField>
    <cacheField name="Project size" numFmtId="0">
      <sharedItems containsSemiMixedTypes="0" containsString="0" containsNumber="1" containsInteger="1" minValue="1013" maxValue="9794"/>
    </cacheField>
    <cacheField name="Engineer Name" numFmtId="0">
      <sharedItems count="2">
        <s v="Chioma Ude"/>
        <s v="James Okoro"/>
      </sharedItems>
    </cacheField>
    <cacheField name="Status" numFmtId="0">
      <sharedItems count="3">
        <s v="In Progress"/>
        <s v="Completed"/>
        <s v="Completed "/>
      </sharedItems>
    </cacheField>
    <cacheField name="Materials Used" numFmtId="0">
      <sharedItems count="6">
        <s v="Steel"/>
        <s v="Cement"/>
        <s v="Wood"/>
        <s v="Gravel"/>
        <s v="Iron Rod"/>
        <s v="Sand"/>
      </sharedItems>
    </cacheField>
    <cacheField name="Materials quantity" numFmtId="0">
      <sharedItems containsSemiMixedTypes="0" containsString="0" containsNumber="1" containsInteger="1" minValue="5" maxValue="982"/>
    </cacheField>
    <cacheField name="Estimated cost (NGN)" numFmtId="0">
      <sharedItems containsSemiMixedTypes="0" containsString="0" containsNumber="1" containsInteger="1" minValue="1560032" maxValue="49715790" count="66">
        <n v="17197855"/>
        <n v="22581140"/>
        <n v="30000000"/>
        <n v="15246906"/>
        <n v="36525142"/>
        <n v="38315246"/>
        <n v="1560032"/>
        <n v="31552353"/>
        <n v="28968682"/>
        <n v="40187222"/>
        <n v="12817764"/>
        <n v="49715790"/>
        <n v="34804492"/>
        <n v="11627279"/>
        <n v="14179399"/>
        <n v="30912481"/>
        <n v="40203991"/>
        <n v="10906873"/>
        <n v="21734730"/>
        <n v="16527672"/>
        <n v="11022956"/>
        <n v="47094916"/>
        <n v="18940168"/>
        <n v="19505687"/>
        <n v="19243847"/>
        <n v="13953034"/>
        <n v="29532457"/>
        <n v="11542973"/>
        <n v="26144727"/>
        <n v="19469496"/>
        <n v="25779106"/>
        <n v="4010932"/>
        <n v="38295845"/>
        <n v="36184408"/>
        <n v="9497128"/>
        <n v="40926474"/>
        <n v="43158562"/>
        <n v="36831445"/>
        <n v="39760465"/>
        <n v="17413596"/>
        <n v="34869579"/>
        <n v="9032452"/>
        <n v="24634578"/>
        <n v="23422412"/>
        <n v="27357339"/>
        <n v="29339203"/>
        <n v="39529521"/>
        <n v="13493776"/>
        <n v="1898632"/>
        <n v="2593362"/>
        <n v="35268369"/>
        <n v="7279940"/>
        <n v="33027163"/>
        <n v="19816266"/>
        <n v="15904113"/>
        <n v="14354550"/>
        <n v="37209471"/>
        <n v="5506785"/>
        <n v="3773685"/>
        <n v="39664617"/>
        <n v="44020799"/>
        <n v="22110131"/>
        <n v="46923714"/>
        <n v="45521478"/>
        <n v="42540499"/>
        <n v="40306138"/>
      </sharedItems>
    </cacheField>
    <cacheField name="NO.Workers" numFmtId="0">
      <sharedItems containsSemiMixedTypes="0" containsString="0" containsNumber="1" containsInteger="1" minValue="1" maxValue="196"/>
    </cacheField>
  </cacheFields>
  <extLst>
    <ext xmlns:x14="http://schemas.microsoft.com/office/spreadsheetml/2009/9/main" uri="{725AE2AE-9491-48be-B2B4-4EB974FC3084}">
      <x14:pivotCacheDefinition pivotCacheId="1222630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n v="211"/>
    <x v="0"/>
    <x v="0"/>
    <n v="4579"/>
    <x v="0"/>
    <x v="0"/>
    <x v="0"/>
    <n v="487"/>
    <x v="0"/>
    <n v="64"/>
  </r>
  <r>
    <n v="206"/>
    <x v="0"/>
    <x v="1"/>
    <n v="1870"/>
    <x v="0"/>
    <x v="0"/>
    <x v="1"/>
    <n v="679"/>
    <x v="1"/>
    <n v="1"/>
  </r>
  <r>
    <n v="203"/>
    <x v="0"/>
    <x v="2"/>
    <n v="5173"/>
    <x v="1"/>
    <x v="1"/>
    <x v="0"/>
    <n v="394"/>
    <x v="2"/>
    <n v="64"/>
  </r>
  <r>
    <n v="208"/>
    <x v="1"/>
    <x v="3"/>
    <n v="7127"/>
    <x v="0"/>
    <x v="2"/>
    <x v="2"/>
    <n v="24"/>
    <x v="3"/>
    <n v="19"/>
  </r>
  <r>
    <n v="208"/>
    <x v="2"/>
    <x v="0"/>
    <n v="7199"/>
    <x v="1"/>
    <x v="0"/>
    <x v="3"/>
    <n v="24"/>
    <x v="2"/>
    <n v="172"/>
  </r>
  <r>
    <n v="212"/>
    <x v="3"/>
    <x v="1"/>
    <n v="6261"/>
    <x v="0"/>
    <x v="1"/>
    <x v="2"/>
    <n v="365"/>
    <x v="4"/>
    <n v="50"/>
  </r>
  <r>
    <n v="206"/>
    <x v="4"/>
    <x v="1"/>
    <n v="4009"/>
    <x v="1"/>
    <x v="0"/>
    <x v="2"/>
    <n v="877"/>
    <x v="5"/>
    <n v="79"/>
  </r>
  <r>
    <n v="205"/>
    <x v="1"/>
    <x v="1"/>
    <n v="8582"/>
    <x v="0"/>
    <x v="1"/>
    <x v="1"/>
    <n v="17"/>
    <x v="2"/>
    <n v="111"/>
  </r>
  <r>
    <n v="200"/>
    <x v="3"/>
    <x v="4"/>
    <n v="6092"/>
    <x v="1"/>
    <x v="0"/>
    <x v="3"/>
    <n v="491"/>
    <x v="2"/>
    <n v="102"/>
  </r>
  <r>
    <n v="203"/>
    <x v="1"/>
    <x v="2"/>
    <n v="4118"/>
    <x v="0"/>
    <x v="1"/>
    <x v="2"/>
    <n v="865"/>
    <x v="6"/>
    <n v="2"/>
  </r>
  <r>
    <n v="215"/>
    <x v="2"/>
    <x v="1"/>
    <n v="6616"/>
    <x v="0"/>
    <x v="2"/>
    <x v="2"/>
    <n v="335"/>
    <x v="7"/>
    <n v="72"/>
  </r>
  <r>
    <n v="200"/>
    <x v="3"/>
    <x v="4"/>
    <n v="2552"/>
    <x v="0"/>
    <x v="0"/>
    <x v="3"/>
    <n v="117"/>
    <x v="8"/>
    <n v="102"/>
  </r>
  <r>
    <n v="202"/>
    <x v="2"/>
    <x v="2"/>
    <n v="5062"/>
    <x v="1"/>
    <x v="1"/>
    <x v="4"/>
    <n v="603"/>
    <x v="7"/>
    <n v="100"/>
  </r>
  <r>
    <n v="201"/>
    <x v="4"/>
    <x v="4"/>
    <n v="4288"/>
    <x v="0"/>
    <x v="1"/>
    <x v="4"/>
    <n v="223"/>
    <x v="9"/>
    <n v="100"/>
  </r>
  <r>
    <n v="202"/>
    <x v="2"/>
    <x v="3"/>
    <n v="9549"/>
    <x v="0"/>
    <x v="0"/>
    <x v="0"/>
    <n v="124"/>
    <x v="10"/>
    <n v="86"/>
  </r>
  <r>
    <n v="203"/>
    <x v="2"/>
    <x v="4"/>
    <n v="5974"/>
    <x v="0"/>
    <x v="2"/>
    <x v="3"/>
    <n v="379"/>
    <x v="11"/>
    <n v="2"/>
  </r>
  <r>
    <n v="212"/>
    <x v="1"/>
    <x v="0"/>
    <n v="3281"/>
    <x v="0"/>
    <x v="0"/>
    <x v="5"/>
    <n v="279"/>
    <x v="12"/>
    <n v="7"/>
  </r>
  <r>
    <n v="212"/>
    <x v="2"/>
    <x v="4"/>
    <n v="1471"/>
    <x v="1"/>
    <x v="0"/>
    <x v="1"/>
    <n v="27"/>
    <x v="2"/>
    <n v="72"/>
  </r>
  <r>
    <n v="202"/>
    <x v="0"/>
    <x v="3"/>
    <n v="6223"/>
    <x v="0"/>
    <x v="2"/>
    <x v="0"/>
    <n v="298"/>
    <x v="13"/>
    <n v="50"/>
  </r>
  <r>
    <n v="201"/>
    <x v="3"/>
    <x v="1"/>
    <n v="1832"/>
    <x v="1"/>
    <x v="0"/>
    <x v="3"/>
    <n v="42"/>
    <x v="14"/>
    <n v="83"/>
  </r>
  <r>
    <n v="200"/>
    <x v="4"/>
    <x v="4"/>
    <n v="2787"/>
    <x v="1"/>
    <x v="1"/>
    <x v="4"/>
    <n v="455"/>
    <x v="2"/>
    <n v="79"/>
  </r>
  <r>
    <n v="201"/>
    <x v="2"/>
    <x v="1"/>
    <n v="8407"/>
    <x v="0"/>
    <x v="0"/>
    <x v="4"/>
    <n v="5"/>
    <x v="7"/>
    <n v="50"/>
  </r>
  <r>
    <n v="208"/>
    <x v="4"/>
    <x v="0"/>
    <n v="2713"/>
    <x v="0"/>
    <x v="1"/>
    <x v="2"/>
    <n v="30"/>
    <x v="15"/>
    <n v="50"/>
  </r>
  <r>
    <n v="203"/>
    <x v="3"/>
    <x v="4"/>
    <n v="9794"/>
    <x v="1"/>
    <x v="0"/>
    <x v="0"/>
    <n v="118"/>
    <x v="16"/>
    <n v="50"/>
  </r>
  <r>
    <n v="212"/>
    <x v="3"/>
    <x v="1"/>
    <n v="2733"/>
    <x v="0"/>
    <x v="1"/>
    <x v="1"/>
    <n v="122"/>
    <x v="17"/>
    <n v="102"/>
  </r>
  <r>
    <n v="214"/>
    <x v="0"/>
    <x v="3"/>
    <n v="7187"/>
    <x v="1"/>
    <x v="0"/>
    <x v="0"/>
    <n v="498"/>
    <x v="18"/>
    <n v="50"/>
  </r>
  <r>
    <n v="204"/>
    <x v="1"/>
    <x v="1"/>
    <n v="9037"/>
    <x v="0"/>
    <x v="1"/>
    <x v="2"/>
    <n v="162"/>
    <x v="19"/>
    <n v="50"/>
  </r>
  <r>
    <n v="214"/>
    <x v="3"/>
    <x v="4"/>
    <n v="1545"/>
    <x v="0"/>
    <x v="1"/>
    <x v="1"/>
    <n v="48"/>
    <x v="20"/>
    <n v="107"/>
  </r>
  <r>
    <n v="212"/>
    <x v="2"/>
    <x v="0"/>
    <n v="2066"/>
    <x v="0"/>
    <x v="1"/>
    <x v="0"/>
    <n v="85"/>
    <x v="21"/>
    <n v="100"/>
  </r>
  <r>
    <n v="209"/>
    <x v="1"/>
    <x v="4"/>
    <n v="9706"/>
    <x v="1"/>
    <x v="0"/>
    <x v="0"/>
    <n v="156"/>
    <x v="22"/>
    <n v="5"/>
  </r>
  <r>
    <n v="207"/>
    <x v="3"/>
    <x v="4"/>
    <n v="5702"/>
    <x v="0"/>
    <x v="0"/>
    <x v="4"/>
    <n v="112"/>
    <x v="2"/>
    <n v="102"/>
  </r>
  <r>
    <n v="206"/>
    <x v="0"/>
    <x v="3"/>
    <n v="3907"/>
    <x v="0"/>
    <x v="0"/>
    <x v="4"/>
    <n v="354"/>
    <x v="23"/>
    <n v="50"/>
  </r>
  <r>
    <n v="211"/>
    <x v="2"/>
    <x v="0"/>
    <n v="7765"/>
    <x v="0"/>
    <x v="2"/>
    <x v="1"/>
    <n v="501"/>
    <x v="2"/>
    <n v="72"/>
  </r>
  <r>
    <n v="200"/>
    <x v="0"/>
    <x v="0"/>
    <n v="2375"/>
    <x v="0"/>
    <x v="0"/>
    <x v="4"/>
    <n v="271"/>
    <x v="2"/>
    <n v="64"/>
  </r>
  <r>
    <n v="206"/>
    <x v="3"/>
    <x v="1"/>
    <n v="5657"/>
    <x v="0"/>
    <x v="0"/>
    <x v="0"/>
    <n v="168"/>
    <x v="24"/>
    <n v="102"/>
  </r>
  <r>
    <n v="204"/>
    <x v="0"/>
    <x v="3"/>
    <n v="5816"/>
    <x v="1"/>
    <x v="1"/>
    <x v="1"/>
    <n v="418"/>
    <x v="25"/>
    <n v="150"/>
  </r>
  <r>
    <n v="203"/>
    <x v="3"/>
    <x v="0"/>
    <n v="7704"/>
    <x v="0"/>
    <x v="0"/>
    <x v="4"/>
    <n v="750"/>
    <x v="2"/>
    <n v="100"/>
  </r>
  <r>
    <n v="212"/>
    <x v="1"/>
    <x v="3"/>
    <n v="2544"/>
    <x v="1"/>
    <x v="1"/>
    <x v="2"/>
    <n v="45"/>
    <x v="26"/>
    <n v="100"/>
  </r>
  <r>
    <n v="205"/>
    <x v="0"/>
    <x v="0"/>
    <n v="5710"/>
    <x v="1"/>
    <x v="0"/>
    <x v="5"/>
    <n v="522"/>
    <x v="23"/>
    <n v="10"/>
  </r>
  <r>
    <n v="204"/>
    <x v="0"/>
    <x v="2"/>
    <n v="7737"/>
    <x v="0"/>
    <x v="0"/>
    <x v="0"/>
    <n v="982"/>
    <x v="27"/>
    <n v="100"/>
  </r>
  <r>
    <n v="208"/>
    <x v="1"/>
    <x v="0"/>
    <n v="5406"/>
    <x v="0"/>
    <x v="0"/>
    <x v="4"/>
    <n v="26"/>
    <x v="28"/>
    <n v="50"/>
  </r>
  <r>
    <n v="212"/>
    <x v="1"/>
    <x v="4"/>
    <n v="3967"/>
    <x v="0"/>
    <x v="1"/>
    <x v="5"/>
    <n v="318"/>
    <x v="29"/>
    <n v="100"/>
  </r>
  <r>
    <n v="214"/>
    <x v="3"/>
    <x v="1"/>
    <n v="1965"/>
    <x v="0"/>
    <x v="1"/>
    <x v="3"/>
    <n v="5"/>
    <x v="2"/>
    <n v="100"/>
  </r>
  <r>
    <n v="210"/>
    <x v="3"/>
    <x v="1"/>
    <n v="3357"/>
    <x v="0"/>
    <x v="0"/>
    <x v="5"/>
    <n v="620"/>
    <x v="30"/>
    <n v="100"/>
  </r>
  <r>
    <n v="211"/>
    <x v="0"/>
    <x v="3"/>
    <n v="8662"/>
    <x v="1"/>
    <x v="0"/>
    <x v="5"/>
    <n v="8"/>
    <x v="31"/>
    <n v="64"/>
  </r>
  <r>
    <n v="201"/>
    <x v="1"/>
    <x v="2"/>
    <n v="4361"/>
    <x v="1"/>
    <x v="0"/>
    <x v="0"/>
    <n v="20"/>
    <x v="28"/>
    <n v="74"/>
  </r>
  <r>
    <n v="209"/>
    <x v="1"/>
    <x v="2"/>
    <n v="8748"/>
    <x v="1"/>
    <x v="0"/>
    <x v="3"/>
    <n v="168"/>
    <x v="32"/>
    <n v="25"/>
  </r>
  <r>
    <n v="202"/>
    <x v="1"/>
    <x v="0"/>
    <n v="5444"/>
    <x v="0"/>
    <x v="1"/>
    <x v="3"/>
    <n v="614"/>
    <x v="33"/>
    <n v="6"/>
  </r>
  <r>
    <n v="215"/>
    <x v="0"/>
    <x v="2"/>
    <n v="4652"/>
    <x v="0"/>
    <x v="1"/>
    <x v="3"/>
    <n v="11"/>
    <x v="34"/>
    <n v="100"/>
  </r>
  <r>
    <n v="202"/>
    <x v="2"/>
    <x v="2"/>
    <n v="9621"/>
    <x v="1"/>
    <x v="2"/>
    <x v="4"/>
    <n v="32"/>
    <x v="35"/>
    <n v="100"/>
  </r>
  <r>
    <n v="205"/>
    <x v="4"/>
    <x v="4"/>
    <n v="6659"/>
    <x v="1"/>
    <x v="1"/>
    <x v="4"/>
    <n v="197"/>
    <x v="36"/>
    <n v="79"/>
  </r>
  <r>
    <n v="205"/>
    <x v="3"/>
    <x v="3"/>
    <n v="6900"/>
    <x v="0"/>
    <x v="1"/>
    <x v="1"/>
    <n v="416"/>
    <x v="2"/>
    <n v="102"/>
  </r>
  <r>
    <n v="213"/>
    <x v="0"/>
    <x v="1"/>
    <n v="2457"/>
    <x v="1"/>
    <x v="0"/>
    <x v="5"/>
    <n v="134"/>
    <x v="23"/>
    <n v="1"/>
  </r>
  <r>
    <n v="214"/>
    <x v="1"/>
    <x v="0"/>
    <n v="8394"/>
    <x v="1"/>
    <x v="1"/>
    <x v="3"/>
    <n v="30"/>
    <x v="37"/>
    <n v="100"/>
  </r>
  <r>
    <n v="204"/>
    <x v="4"/>
    <x v="1"/>
    <n v="4582"/>
    <x v="1"/>
    <x v="1"/>
    <x v="2"/>
    <n v="122"/>
    <x v="15"/>
    <n v="135"/>
  </r>
  <r>
    <n v="203"/>
    <x v="1"/>
    <x v="2"/>
    <n v="7421"/>
    <x v="1"/>
    <x v="0"/>
    <x v="5"/>
    <n v="38"/>
    <x v="38"/>
    <n v="1"/>
  </r>
  <r>
    <n v="205"/>
    <x v="1"/>
    <x v="1"/>
    <n v="1442"/>
    <x v="0"/>
    <x v="0"/>
    <x v="4"/>
    <n v="500"/>
    <x v="28"/>
    <n v="100"/>
  </r>
  <r>
    <n v="213"/>
    <x v="1"/>
    <x v="3"/>
    <n v="7391"/>
    <x v="0"/>
    <x v="1"/>
    <x v="5"/>
    <n v="419"/>
    <x v="28"/>
    <n v="105"/>
  </r>
  <r>
    <n v="211"/>
    <x v="3"/>
    <x v="4"/>
    <n v="3243"/>
    <x v="0"/>
    <x v="0"/>
    <x v="5"/>
    <n v="344"/>
    <x v="39"/>
    <n v="100"/>
  </r>
  <r>
    <n v="215"/>
    <x v="0"/>
    <x v="0"/>
    <n v="1795"/>
    <x v="0"/>
    <x v="0"/>
    <x v="4"/>
    <n v="39"/>
    <x v="2"/>
    <n v="100"/>
  </r>
  <r>
    <n v="203"/>
    <x v="3"/>
    <x v="4"/>
    <n v="2589"/>
    <x v="0"/>
    <x v="0"/>
    <x v="3"/>
    <n v="179"/>
    <x v="40"/>
    <n v="196"/>
  </r>
  <r>
    <n v="201"/>
    <x v="1"/>
    <x v="1"/>
    <n v="6595"/>
    <x v="1"/>
    <x v="2"/>
    <x v="5"/>
    <n v="505"/>
    <x v="41"/>
    <n v="53"/>
  </r>
  <r>
    <n v="208"/>
    <x v="1"/>
    <x v="2"/>
    <n v="8418"/>
    <x v="1"/>
    <x v="0"/>
    <x v="1"/>
    <n v="158"/>
    <x v="2"/>
    <n v="8"/>
  </r>
  <r>
    <n v="200"/>
    <x v="3"/>
    <x v="3"/>
    <n v="1013"/>
    <x v="0"/>
    <x v="1"/>
    <x v="1"/>
    <n v="675"/>
    <x v="42"/>
    <n v="100"/>
  </r>
  <r>
    <n v="212"/>
    <x v="1"/>
    <x v="0"/>
    <n v="3158"/>
    <x v="1"/>
    <x v="0"/>
    <x v="4"/>
    <n v="720"/>
    <x v="43"/>
    <n v="53"/>
  </r>
  <r>
    <n v="212"/>
    <x v="1"/>
    <x v="4"/>
    <n v="9165"/>
    <x v="0"/>
    <x v="0"/>
    <x v="2"/>
    <n v="40"/>
    <x v="44"/>
    <n v="100"/>
  </r>
  <r>
    <n v="203"/>
    <x v="4"/>
    <x v="3"/>
    <n v="7293"/>
    <x v="1"/>
    <x v="0"/>
    <x v="2"/>
    <n v="12"/>
    <x v="15"/>
    <n v="79"/>
  </r>
  <r>
    <n v="213"/>
    <x v="4"/>
    <x v="1"/>
    <n v="5656"/>
    <x v="1"/>
    <x v="0"/>
    <x v="1"/>
    <n v="220"/>
    <x v="15"/>
    <n v="79"/>
  </r>
  <r>
    <n v="206"/>
    <x v="1"/>
    <x v="1"/>
    <n v="2889"/>
    <x v="0"/>
    <x v="0"/>
    <x v="2"/>
    <n v="21"/>
    <x v="28"/>
    <n v="3"/>
  </r>
  <r>
    <n v="208"/>
    <x v="1"/>
    <x v="2"/>
    <n v="3127"/>
    <x v="1"/>
    <x v="1"/>
    <x v="4"/>
    <n v="468"/>
    <x v="45"/>
    <n v="3"/>
  </r>
  <r>
    <n v="215"/>
    <x v="2"/>
    <x v="0"/>
    <n v="9525"/>
    <x v="1"/>
    <x v="0"/>
    <x v="4"/>
    <n v="428"/>
    <x v="2"/>
    <n v="100"/>
  </r>
  <r>
    <n v="203"/>
    <x v="1"/>
    <x v="2"/>
    <n v="4644"/>
    <x v="1"/>
    <x v="1"/>
    <x v="1"/>
    <n v="7"/>
    <x v="46"/>
    <n v="53"/>
  </r>
  <r>
    <n v="210"/>
    <x v="2"/>
    <x v="4"/>
    <n v="6393"/>
    <x v="1"/>
    <x v="0"/>
    <x v="0"/>
    <n v="37"/>
    <x v="47"/>
    <n v="46"/>
  </r>
  <r>
    <n v="210"/>
    <x v="4"/>
    <x v="3"/>
    <n v="6623"/>
    <x v="1"/>
    <x v="1"/>
    <x v="4"/>
    <n v="874"/>
    <x v="2"/>
    <n v="100"/>
  </r>
  <r>
    <n v="209"/>
    <x v="1"/>
    <x v="2"/>
    <n v="3872"/>
    <x v="1"/>
    <x v="0"/>
    <x v="0"/>
    <n v="65"/>
    <x v="2"/>
    <n v="53"/>
  </r>
  <r>
    <n v="212"/>
    <x v="0"/>
    <x v="3"/>
    <n v="5914"/>
    <x v="1"/>
    <x v="0"/>
    <x v="3"/>
    <n v="124"/>
    <x v="48"/>
    <n v="50"/>
  </r>
  <r>
    <n v="205"/>
    <x v="3"/>
    <x v="4"/>
    <n v="3120"/>
    <x v="0"/>
    <x v="1"/>
    <x v="2"/>
    <n v="918"/>
    <x v="49"/>
    <n v="102"/>
  </r>
  <r>
    <n v="204"/>
    <x v="1"/>
    <x v="2"/>
    <n v="8115"/>
    <x v="0"/>
    <x v="2"/>
    <x v="5"/>
    <n v="16"/>
    <x v="50"/>
    <n v="100"/>
  </r>
  <r>
    <n v="212"/>
    <x v="1"/>
    <x v="4"/>
    <n v="4412"/>
    <x v="0"/>
    <x v="1"/>
    <x v="0"/>
    <n v="170"/>
    <x v="51"/>
    <n v="93"/>
  </r>
  <r>
    <n v="210"/>
    <x v="0"/>
    <x v="4"/>
    <n v="9251"/>
    <x v="0"/>
    <x v="0"/>
    <x v="4"/>
    <n v="81"/>
    <x v="2"/>
    <n v="64"/>
  </r>
  <r>
    <n v="215"/>
    <x v="2"/>
    <x v="3"/>
    <n v="2668"/>
    <x v="0"/>
    <x v="1"/>
    <x v="1"/>
    <n v="60"/>
    <x v="52"/>
    <n v="101"/>
  </r>
  <r>
    <n v="203"/>
    <x v="4"/>
    <x v="4"/>
    <n v="4266"/>
    <x v="0"/>
    <x v="1"/>
    <x v="4"/>
    <n v="451"/>
    <x v="15"/>
    <n v="161"/>
  </r>
  <r>
    <n v="205"/>
    <x v="4"/>
    <x v="0"/>
    <n v="9236"/>
    <x v="0"/>
    <x v="1"/>
    <x v="0"/>
    <n v="824"/>
    <x v="15"/>
    <n v="79"/>
  </r>
  <r>
    <n v="212"/>
    <x v="4"/>
    <x v="4"/>
    <n v="1900"/>
    <x v="0"/>
    <x v="0"/>
    <x v="3"/>
    <n v="310"/>
    <x v="2"/>
    <n v="7"/>
  </r>
  <r>
    <n v="203"/>
    <x v="1"/>
    <x v="3"/>
    <n v="4970"/>
    <x v="1"/>
    <x v="1"/>
    <x v="1"/>
    <n v="254"/>
    <x v="2"/>
    <n v="53"/>
  </r>
  <r>
    <n v="213"/>
    <x v="1"/>
    <x v="1"/>
    <n v="8188"/>
    <x v="0"/>
    <x v="1"/>
    <x v="4"/>
    <n v="482"/>
    <x v="53"/>
    <n v="53"/>
  </r>
  <r>
    <n v="207"/>
    <x v="4"/>
    <x v="0"/>
    <n v="9217"/>
    <x v="1"/>
    <x v="0"/>
    <x v="0"/>
    <n v="15"/>
    <x v="54"/>
    <n v="100"/>
  </r>
  <r>
    <n v="215"/>
    <x v="1"/>
    <x v="1"/>
    <n v="2881"/>
    <x v="1"/>
    <x v="2"/>
    <x v="1"/>
    <n v="582"/>
    <x v="2"/>
    <n v="53"/>
  </r>
  <r>
    <n v="213"/>
    <x v="4"/>
    <x v="3"/>
    <n v="5334"/>
    <x v="1"/>
    <x v="2"/>
    <x v="1"/>
    <n v="18"/>
    <x v="15"/>
    <n v="50"/>
  </r>
  <r>
    <n v="214"/>
    <x v="1"/>
    <x v="1"/>
    <n v="5112"/>
    <x v="0"/>
    <x v="0"/>
    <x v="0"/>
    <n v="949"/>
    <x v="55"/>
    <n v="49"/>
  </r>
  <r>
    <n v="203"/>
    <x v="0"/>
    <x v="4"/>
    <n v="8677"/>
    <x v="0"/>
    <x v="0"/>
    <x v="2"/>
    <n v="679"/>
    <x v="23"/>
    <n v="100"/>
  </r>
  <r>
    <n v="203"/>
    <x v="4"/>
    <x v="1"/>
    <n v="4012"/>
    <x v="1"/>
    <x v="1"/>
    <x v="2"/>
    <n v="777"/>
    <x v="15"/>
    <n v="79"/>
  </r>
  <r>
    <n v="200"/>
    <x v="1"/>
    <x v="0"/>
    <n v="7099"/>
    <x v="0"/>
    <x v="0"/>
    <x v="3"/>
    <n v="12"/>
    <x v="56"/>
    <n v="53"/>
  </r>
  <r>
    <n v="206"/>
    <x v="2"/>
    <x v="0"/>
    <n v="4909"/>
    <x v="1"/>
    <x v="1"/>
    <x v="3"/>
    <n v="978"/>
    <x v="7"/>
    <n v="2"/>
  </r>
  <r>
    <n v="204"/>
    <x v="0"/>
    <x v="0"/>
    <n v="5125"/>
    <x v="1"/>
    <x v="1"/>
    <x v="4"/>
    <n v="176"/>
    <x v="57"/>
    <n v="50"/>
  </r>
  <r>
    <n v="204"/>
    <x v="4"/>
    <x v="3"/>
    <n v="4396"/>
    <x v="0"/>
    <x v="1"/>
    <x v="4"/>
    <n v="613"/>
    <x v="58"/>
    <n v="9"/>
  </r>
  <r>
    <n v="205"/>
    <x v="4"/>
    <x v="4"/>
    <n v="8417"/>
    <x v="0"/>
    <x v="1"/>
    <x v="1"/>
    <n v="21"/>
    <x v="59"/>
    <n v="79"/>
  </r>
  <r>
    <n v="208"/>
    <x v="3"/>
    <x v="2"/>
    <n v="7018"/>
    <x v="0"/>
    <x v="1"/>
    <x v="5"/>
    <n v="122"/>
    <x v="60"/>
    <n v="117"/>
  </r>
  <r>
    <n v="213"/>
    <x v="4"/>
    <x v="3"/>
    <n v="6860"/>
    <x v="1"/>
    <x v="1"/>
    <x v="3"/>
    <n v="446"/>
    <x v="61"/>
    <n v="79"/>
  </r>
  <r>
    <n v="203"/>
    <x v="0"/>
    <x v="1"/>
    <n v="8886"/>
    <x v="1"/>
    <x v="0"/>
    <x v="0"/>
    <n v="621"/>
    <x v="2"/>
    <n v="100"/>
  </r>
  <r>
    <n v="204"/>
    <x v="4"/>
    <x v="1"/>
    <n v="7273"/>
    <x v="0"/>
    <x v="0"/>
    <x v="5"/>
    <n v="286"/>
    <x v="62"/>
    <n v="79"/>
  </r>
  <r>
    <n v="202"/>
    <x v="3"/>
    <x v="4"/>
    <n v="8865"/>
    <x v="1"/>
    <x v="1"/>
    <x v="4"/>
    <n v="292"/>
    <x v="63"/>
    <n v="100"/>
  </r>
  <r>
    <n v="206"/>
    <x v="0"/>
    <x v="3"/>
    <n v="3976"/>
    <x v="0"/>
    <x v="0"/>
    <x v="4"/>
    <n v="216"/>
    <x v="64"/>
    <n v="50"/>
  </r>
  <r>
    <n v="214"/>
    <x v="3"/>
    <x v="4"/>
    <n v="8789"/>
    <x v="1"/>
    <x v="0"/>
    <x v="5"/>
    <n v="313"/>
    <x v="65"/>
    <n v="117"/>
  </r>
  <r>
    <n v="215"/>
    <x v="2"/>
    <x v="0"/>
    <n v="2658"/>
    <x v="1"/>
    <x v="1"/>
    <x v="0"/>
    <n v="41"/>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E26E3-39C7-4D78-B606-A6991195821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4" firstHeaderRow="1" firstDataRow="1" firstDataCol="1"/>
  <pivotFields count="10">
    <pivotField showAll="0"/>
    <pivotField axis="axisRow" showAll="0">
      <items count="6">
        <item x="4"/>
        <item x="1"/>
        <item x="0"/>
        <item x="3"/>
        <item x="2"/>
        <item t="default"/>
      </items>
    </pivotField>
    <pivotField axis="axisRow" dataField="1" showAll="0" sortType="ascending">
      <items count="6">
        <item h="1" x="0"/>
        <item h="1" x="1"/>
        <item h="1" x="2"/>
        <item h="1"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pivotField showAll="0"/>
    <pivotField showAll="0"/>
    <pivotField showAll="0"/>
  </pivotFields>
  <rowFields count="2">
    <field x="1"/>
    <field x="2"/>
  </rowFields>
  <rowItems count="11">
    <i>
      <x/>
    </i>
    <i r="1">
      <x v="4"/>
    </i>
    <i>
      <x v="1"/>
    </i>
    <i r="1">
      <x v="4"/>
    </i>
    <i>
      <x v="2"/>
    </i>
    <i r="1">
      <x v="4"/>
    </i>
    <i>
      <x v="3"/>
    </i>
    <i r="1">
      <x v="4"/>
    </i>
    <i>
      <x v="4"/>
    </i>
    <i r="1">
      <x v="4"/>
    </i>
    <i t="grand">
      <x/>
    </i>
  </rowItems>
  <colItems count="1">
    <i/>
  </colItems>
  <dataFields count="1">
    <dataField name="Count of Project type" fld="2" subtotal="count"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A8BCC7-F25C-4A5C-AF0E-D085B6C9EA0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0" firstHeaderRow="1" firstDataRow="1" firstDataCol="1"/>
  <pivotFields count="10">
    <pivotField showAll="0"/>
    <pivotField showAll="0">
      <items count="6">
        <item x="4"/>
        <item x="1"/>
        <item x="0"/>
        <item x="3"/>
        <item x="2"/>
        <item t="default"/>
      </items>
    </pivotField>
    <pivotField showAll="0">
      <items count="6">
        <item h="1" x="0"/>
        <item h="1" x="1"/>
        <item h="1" x="2"/>
        <item h="1" x="3"/>
        <item x="4"/>
        <item t="default"/>
      </items>
    </pivotField>
    <pivotField showAll="0"/>
    <pivotField showAll="0"/>
    <pivotField showAll="0"/>
    <pivotField axis="axisRow" showAll="0" sortType="ascending">
      <items count="7">
        <item x="1"/>
        <item x="3"/>
        <item x="4"/>
        <item x="5"/>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6"/>
  </rowFields>
  <rowItems count="7">
    <i>
      <x v="5"/>
    </i>
    <i>
      <x v="4"/>
    </i>
    <i>
      <x v="3"/>
    </i>
    <i>
      <x/>
    </i>
    <i>
      <x v="1"/>
    </i>
    <i>
      <x v="2"/>
    </i>
    <i t="grand">
      <x/>
    </i>
  </rowItems>
  <colItems count="1">
    <i/>
  </colItems>
  <dataFields count="1">
    <dataField name="Average of Estimated cost (NGN)" fld="8" subtotal="average" baseField="6"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357C6-DCEC-4509-AE0E-AF0A3F3B136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8" firstHeaderRow="1" firstDataRow="1" firstDataCol="1"/>
  <pivotFields count="10">
    <pivotField showAll="0"/>
    <pivotField showAll="0"/>
    <pivotField axis="axisRow" showAll="0">
      <items count="6">
        <item h="1" x="0"/>
        <item h="1" x="1"/>
        <item h="1" x="2"/>
        <item h="1" x="3"/>
        <item x="4"/>
        <item t="default"/>
      </items>
    </pivotField>
    <pivotField showAll="0"/>
    <pivotField showAll="0"/>
    <pivotField axis="axisRow" dataField="1"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2">
    <field x="2"/>
    <field x="5"/>
  </rowFields>
  <rowItems count="5">
    <i>
      <x v="4"/>
    </i>
    <i r="1">
      <x v="1"/>
    </i>
    <i r="1">
      <x/>
    </i>
    <i r="1">
      <x v="2"/>
    </i>
    <i t="grand">
      <x/>
    </i>
  </rowItems>
  <colItems count="1">
    <i/>
  </colItems>
  <dataFields count="1">
    <dataField name="Count of Status" fld="5"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DEB1D8-63DA-4DFA-8D26-FD6FB159F16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9" firstHeaderRow="1" firstDataRow="1" firstDataCol="1"/>
  <pivotFields count="10">
    <pivotField showAll="0"/>
    <pivotField axis="axisRow" showAll="0" sortType="a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items count="6">
        <item h="1" x="0"/>
        <item h="1" x="1"/>
        <item h="1" x="2"/>
        <item h="1" x="3"/>
        <item x="4"/>
        <item t="default"/>
      </items>
    </pivotField>
    <pivotField showAll="0"/>
    <pivotField showAll="0">
      <items count="3">
        <item x="0"/>
        <item x="1"/>
        <item t="default"/>
      </items>
    </pivotField>
    <pivotField showAll="0">
      <items count="4">
        <item h="1" x="1"/>
        <item h="1" x="2"/>
        <item x="0"/>
        <item t="default"/>
      </items>
    </pivotField>
    <pivotField showAll="0"/>
    <pivotField showAll="0"/>
    <pivotField dataField="1" showAll="0">
      <items count="67">
        <item x="6"/>
        <item x="48"/>
        <item x="49"/>
        <item x="58"/>
        <item x="31"/>
        <item x="57"/>
        <item x="51"/>
        <item x="41"/>
        <item x="34"/>
        <item x="17"/>
        <item x="20"/>
        <item x="27"/>
        <item x="13"/>
        <item x="10"/>
        <item x="47"/>
        <item x="25"/>
        <item x="14"/>
        <item x="55"/>
        <item x="3"/>
        <item x="54"/>
        <item x="19"/>
        <item x="0"/>
        <item x="39"/>
        <item x="22"/>
        <item x="24"/>
        <item x="29"/>
        <item x="23"/>
        <item x="53"/>
        <item x="18"/>
        <item x="61"/>
        <item x="1"/>
        <item x="43"/>
        <item x="42"/>
        <item x="30"/>
        <item x="28"/>
        <item x="44"/>
        <item x="8"/>
        <item x="45"/>
        <item x="26"/>
        <item x="2"/>
        <item x="15"/>
        <item x="7"/>
        <item x="52"/>
        <item x="12"/>
        <item x="40"/>
        <item x="50"/>
        <item x="33"/>
        <item x="4"/>
        <item x="37"/>
        <item x="56"/>
        <item x="32"/>
        <item x="5"/>
        <item x="46"/>
        <item x="59"/>
        <item x="38"/>
        <item x="9"/>
        <item x="16"/>
        <item x="65"/>
        <item x="35"/>
        <item x="64"/>
        <item x="36"/>
        <item x="60"/>
        <item x="63"/>
        <item x="62"/>
        <item x="21"/>
        <item x="11"/>
        <item t="default"/>
      </items>
    </pivotField>
    <pivotField showAll="0"/>
  </pivotFields>
  <rowFields count="1">
    <field x="1"/>
  </rowFields>
  <rowItems count="6">
    <i>
      <x/>
    </i>
    <i>
      <x v="4"/>
    </i>
    <i>
      <x v="1"/>
    </i>
    <i>
      <x v="2"/>
    </i>
    <i>
      <x v="3"/>
    </i>
    <i t="grand">
      <x/>
    </i>
  </rowItems>
  <colItems count="1">
    <i/>
  </colItems>
  <dataFields count="1">
    <dataField name="Sum of Estimated cost (NGN)" fld="8" baseField="0" baseItem="0"/>
  </dataFields>
  <chartFormats count="1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2">
          <reference field="4294967294" count="1" selected="0">
            <x v="0"/>
          </reference>
          <reference field="1" count="1" selected="0">
            <x v="4"/>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1"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4B1C4CB-6B62-4BE4-A3DB-0DEAAFE2A903}" autoFormatId="16" applyNumberFormats="0" applyBorderFormats="0" applyFontFormats="0" applyPatternFormats="0" applyAlignmentFormats="0" applyWidthHeightFormats="0">
  <queryTableRefresh nextId="11">
    <queryTableFields count="10">
      <queryTableField id="1" name="Project ID" tableColumnId="11"/>
      <queryTableField id="2" name="Project city" tableColumnId="2"/>
      <queryTableField id="3" name="Project type" tableColumnId="3"/>
      <queryTableField id="4" name="Project size" tableColumnId="4"/>
      <queryTableField id="5" name="Engineer Name" tableColumnId="5"/>
      <queryTableField id="6" name="Status" tableColumnId="6"/>
      <queryTableField id="7" name="Materials Used" tableColumnId="7"/>
      <queryTableField id="8" name="Materials quantity" tableColumnId="8"/>
      <queryTableField id="9" name="Estimated cost (NGN)" tableColumnId="9"/>
      <queryTableField id="10" name="NO.Worker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city" xr10:uid="{0FA81206-81F9-4CBD-8282-FE4D111CB18C}" sourceName="Project city">
  <pivotTables>
    <pivotTable tabId="19" name="PivotTable5"/>
  </pivotTables>
  <data>
    <tabular pivotCacheId="1222630849">
      <items count="5">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534CF6E1-A1A8-4329-AA2E-9FC1C173B389}" sourceName="Project type">
  <pivotTables>
    <pivotTable tabId="19" name="PivotTable5"/>
    <pivotTable tabId="15" name="PivotTable1"/>
    <pivotTable tabId="17" name="PivotTable2"/>
    <pivotTable tabId="18" name="PivotTable4"/>
  </pivotTables>
  <data>
    <tabular pivotCacheId="1222630849">
      <items count="5">
        <i x="0"/>
        <i x="1"/>
        <i x="2"/>
        <i x="3"/>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C7A27FD-C845-4DE1-B051-84B6D9E493B9}" sourceName="Status">
  <pivotTables>
    <pivotTable tabId="19" name="PivotTable5"/>
  </pivotTables>
  <data>
    <tabular pivotCacheId="1222630849">
      <items count="3">
        <i x="1"/>
        <i x="2"/>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imated_cost__NGN" xr10:uid="{7B01D4AB-75F1-4678-87E5-264FBAE33493}" sourceName="Estimated cost (NGN)">
  <pivotTables>
    <pivotTable tabId="19" name="PivotTable5"/>
  </pivotTables>
  <data>
    <tabular pivotCacheId="1222630849">
      <items count="66">
        <i x="47" s="1"/>
        <i x="39" s="1"/>
        <i x="22" s="1"/>
        <i x="23" s="1"/>
        <i x="44" s="1"/>
        <i x="8" s="1"/>
        <i x="2" s="1"/>
        <i x="40" s="1"/>
        <i x="16" s="1"/>
        <i x="65" s="1"/>
        <i x="6" s="1" nd="1"/>
        <i x="48" s="1" nd="1"/>
        <i x="49" s="1" nd="1"/>
        <i x="58" s="1" nd="1"/>
        <i x="31" s="1" nd="1"/>
        <i x="57" s="1" nd="1"/>
        <i x="51" s="1" nd="1"/>
        <i x="41" s="1" nd="1"/>
        <i x="34" s="1" nd="1"/>
        <i x="17" s="1" nd="1"/>
        <i x="20" s="1" nd="1"/>
        <i x="27" s="1" nd="1"/>
        <i x="13" s="1" nd="1"/>
        <i x="10" s="1" nd="1"/>
        <i x="25" s="1" nd="1"/>
        <i x="14" s="1" nd="1"/>
        <i x="55" s="1" nd="1"/>
        <i x="3" s="1" nd="1"/>
        <i x="54" s="1" nd="1"/>
        <i x="19" s="1" nd="1"/>
        <i x="0" s="1" nd="1"/>
        <i x="24" s="1" nd="1"/>
        <i x="29" s="1" nd="1"/>
        <i x="53" s="1" nd="1"/>
        <i x="18" s="1" nd="1"/>
        <i x="61" s="1" nd="1"/>
        <i x="1" s="1" nd="1"/>
        <i x="43" s="1" nd="1"/>
        <i x="42" s="1" nd="1"/>
        <i x="30" s="1" nd="1"/>
        <i x="28" s="1" nd="1"/>
        <i x="45" s="1" nd="1"/>
        <i x="26" s="1" nd="1"/>
        <i x="15" s="1" nd="1"/>
        <i x="7" s="1" nd="1"/>
        <i x="52" s="1" nd="1"/>
        <i x="12" s="1" nd="1"/>
        <i x="50" s="1" nd="1"/>
        <i x="33" s="1" nd="1"/>
        <i x="4" s="1" nd="1"/>
        <i x="37" s="1" nd="1"/>
        <i x="56" s="1" nd="1"/>
        <i x="32" s="1" nd="1"/>
        <i x="5" s="1" nd="1"/>
        <i x="46" s="1" nd="1"/>
        <i x="59" s="1" nd="1"/>
        <i x="38" s="1" nd="1"/>
        <i x="9" s="1" nd="1"/>
        <i x="35" s="1" nd="1"/>
        <i x="64" s="1" nd="1"/>
        <i x="36" s="1" nd="1"/>
        <i x="60" s="1" nd="1"/>
        <i x="63" s="1" nd="1"/>
        <i x="62" s="1" nd="1"/>
        <i x="21"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city" xr10:uid="{1F4B74CA-ED5D-48A3-881A-44133EA4CC6B}" cache="Slicer_Project_city" caption="Project city" style="SlicerStyleLight2" rowHeight="241300"/>
  <slicer name="Project type" xr10:uid="{66AB4865-F3DB-49D4-AB92-F5ED27D2E543}" cache="Slicer_Project_type" caption="Project type" style="SlicerStyleLight2" rowHeight="241300"/>
  <slicer name="Status" xr10:uid="{529944DA-AC93-43CD-A62F-433D98748B3F}" cache="Slicer_Status" caption="Status" style="SlicerStyleLight2" rowHeight="241300"/>
  <slicer name="Estimated cost (NGN)" xr10:uid="{7032DD34-5B2C-4939-86B4-C669F1D7D749}" cache="Slicer_Estimated_cost__NGN" caption="Estimated cost (NGN)"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city 1" xr10:uid="{709E9F79-200D-46F3-88ED-3DE50A2F12F4}" cache="Slicer_Project_city" caption="Project city" style="SlicerStyleLight3" rowHeight="241300"/>
  <slicer name="Project type 1" xr10:uid="{15CB03DF-32CF-4484-96CE-7C017253C92E}" cache="Slicer_Project_type" caption="Project type" startItem="2" style="SlicerStyleLight3" rowHeight="241300"/>
  <slicer name="Status 1" xr10:uid="{0832D1DA-7EFF-4B46-8212-D63AF0AC2BB0}" cache="Slicer_Status" caption="Status" style="SlicerStyleLight3" rowHeight="241300"/>
  <slicer name="Estimated cost (NGN) 1" xr10:uid="{44150184-90EA-4CF4-AE8F-D05F7AD2F7BF}" cache="Slicer_Estimated_cost__NGN" caption="Estimated cost (NGN)"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60C77F-990B-4FBF-96F7-7F0B922521B2}" name="Sheet1__4" displayName="Sheet1__4" ref="A1:J106" tableType="queryTable" totalsRowShown="0">
  <tableColumns count="10">
    <tableColumn id="11" xr3:uid="{76ABEF13-7EB5-4B0F-86A9-EB0E5E9C3C34}" uniqueName="11" name="Project ID" queryTableFieldId="1"/>
    <tableColumn id="2" xr3:uid="{281B6C6F-6E70-45CA-875E-6B9EAC56177C}" uniqueName="2" name="Project city" queryTableFieldId="2" dataDxfId="4"/>
    <tableColumn id="3" xr3:uid="{DEBE3EB1-D672-4B06-8205-801ABE436082}" uniqueName="3" name="Project type" queryTableFieldId="3" dataDxfId="3"/>
    <tableColumn id="4" xr3:uid="{77DF2997-85B8-4B16-AC91-21BE8F6391B3}" uniqueName="4" name="Project size" queryTableFieldId="4"/>
    <tableColumn id="5" xr3:uid="{7D3760CF-0127-4F4B-909B-BA6E69400283}" uniqueName="5" name="Engineer Name" queryTableFieldId="5" dataDxfId="2"/>
    <tableColumn id="6" xr3:uid="{AEAB9A06-9100-4FEF-B1C9-2207E3CC5768}" uniqueName="6" name="Status" queryTableFieldId="6" dataDxfId="1"/>
    <tableColumn id="7" xr3:uid="{DC81BB23-BD48-4BC1-BE1A-EF9DC1356607}" uniqueName="7" name="Materials Used" queryTableFieldId="7" dataDxfId="0"/>
    <tableColumn id="8" xr3:uid="{C9F0152F-2040-4048-B9DF-580B72A16FD4}" uniqueName="8" name="Materials quantity" queryTableFieldId="8"/>
    <tableColumn id="9" xr3:uid="{D1AB8E0F-8839-47DD-B0CF-C87273DC6795}" uniqueName="9" name="Estimated cost (NGN)" queryTableFieldId="9"/>
    <tableColumn id="10" xr3:uid="{A81EEFD3-F186-43A9-8250-D8A1DA06CCDA}" uniqueName="10" name="NO.Workers"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6"/>
  <sheetViews>
    <sheetView workbookViewId="0"/>
  </sheetViews>
  <sheetFormatPr defaultRowHeight="15" x14ac:dyDescent="0.25"/>
  <cols>
    <col min="1" max="1" width="9.5703125" bestFit="1" customWidth="1"/>
    <col min="2" max="2" width="29.42578125" bestFit="1" customWidth="1"/>
    <col min="3" max="3" width="14.7109375" bestFit="1" customWidth="1"/>
    <col min="4" max="4" width="18" bestFit="1" customWidth="1"/>
    <col min="5" max="5" width="14.5703125" bestFit="1" customWidth="1"/>
    <col min="6" max="6" width="12.5703125" bestFit="1" customWidth="1"/>
    <col min="7" max="7" width="17.7109375" bestFit="1" customWidth="1"/>
  </cols>
  <sheetData>
    <row r="1" spans="1:7" x14ac:dyDescent="0.25">
      <c r="A1" s="1" t="s">
        <v>0</v>
      </c>
      <c r="B1" s="1" t="s">
        <v>1</v>
      </c>
      <c r="C1" s="1" t="s">
        <v>2</v>
      </c>
      <c r="D1" s="1" t="s">
        <v>3</v>
      </c>
      <c r="E1" s="1" t="s">
        <v>4</v>
      </c>
      <c r="F1" s="1" t="s">
        <v>5</v>
      </c>
      <c r="G1" s="1" t="s">
        <v>6</v>
      </c>
    </row>
    <row r="2" spans="1:7" x14ac:dyDescent="0.25">
      <c r="A2">
        <v>211</v>
      </c>
      <c r="B2" t="s">
        <v>7</v>
      </c>
      <c r="C2" t="s">
        <v>112</v>
      </c>
      <c r="D2" t="s">
        <v>118</v>
      </c>
      <c r="F2" t="s">
        <v>209</v>
      </c>
      <c r="G2" t="s">
        <v>215</v>
      </c>
    </row>
    <row r="3" spans="1:7" x14ac:dyDescent="0.25">
      <c r="A3">
        <v>208</v>
      </c>
      <c r="B3" t="s">
        <v>8</v>
      </c>
      <c r="C3" t="s">
        <v>112</v>
      </c>
      <c r="D3" t="s">
        <v>119</v>
      </c>
      <c r="E3" t="s">
        <v>180</v>
      </c>
      <c r="F3" t="s">
        <v>210</v>
      </c>
      <c r="G3" t="s">
        <v>216</v>
      </c>
    </row>
    <row r="4" spans="1:7" x14ac:dyDescent="0.25">
      <c r="A4">
        <v>208</v>
      </c>
      <c r="B4" t="s">
        <v>9</v>
      </c>
      <c r="C4" t="s">
        <v>113</v>
      </c>
      <c r="D4" t="s">
        <v>120</v>
      </c>
      <c r="E4" t="s">
        <v>181</v>
      </c>
      <c r="F4" t="s">
        <v>211</v>
      </c>
      <c r="G4" t="s">
        <v>217</v>
      </c>
    </row>
    <row r="5" spans="1:7" x14ac:dyDescent="0.25">
      <c r="A5">
        <v>206</v>
      </c>
      <c r="B5" t="s">
        <v>10</v>
      </c>
      <c r="C5" t="s">
        <v>114</v>
      </c>
      <c r="D5" t="s">
        <v>121</v>
      </c>
      <c r="E5" t="s">
        <v>182</v>
      </c>
      <c r="F5" t="s">
        <v>209</v>
      </c>
      <c r="G5" t="s">
        <v>218</v>
      </c>
    </row>
    <row r="6" spans="1:7" x14ac:dyDescent="0.25">
      <c r="A6">
        <v>212</v>
      </c>
      <c r="B6" t="s">
        <v>11</v>
      </c>
      <c r="C6" t="s">
        <v>115</v>
      </c>
      <c r="D6" t="s">
        <v>122</v>
      </c>
      <c r="E6" t="s">
        <v>183</v>
      </c>
      <c r="F6" t="s">
        <v>212</v>
      </c>
      <c r="G6" t="s">
        <v>219</v>
      </c>
    </row>
    <row r="7" spans="1:7" x14ac:dyDescent="0.25">
      <c r="A7">
        <v>203</v>
      </c>
      <c r="B7" t="s">
        <v>12</v>
      </c>
      <c r="C7" t="s">
        <v>116</v>
      </c>
      <c r="D7" t="s">
        <v>120</v>
      </c>
      <c r="F7" t="s">
        <v>213</v>
      </c>
      <c r="G7" t="s">
        <v>220</v>
      </c>
    </row>
    <row r="8" spans="1:7" x14ac:dyDescent="0.25">
      <c r="A8">
        <v>206</v>
      </c>
      <c r="B8" t="s">
        <v>13</v>
      </c>
      <c r="C8" t="s">
        <v>116</v>
      </c>
      <c r="D8" t="s">
        <v>123</v>
      </c>
      <c r="F8" t="s">
        <v>214</v>
      </c>
      <c r="G8" t="s">
        <v>221</v>
      </c>
    </row>
    <row r="9" spans="1:7" x14ac:dyDescent="0.25">
      <c r="A9">
        <v>205</v>
      </c>
      <c r="B9" t="s">
        <v>14</v>
      </c>
      <c r="C9" t="s">
        <v>114</v>
      </c>
      <c r="D9" t="s">
        <v>120</v>
      </c>
      <c r="E9" t="s">
        <v>184</v>
      </c>
      <c r="F9" t="s">
        <v>213</v>
      </c>
      <c r="G9" t="s">
        <v>222</v>
      </c>
    </row>
    <row r="10" spans="1:7" x14ac:dyDescent="0.25">
      <c r="A10">
        <v>200</v>
      </c>
      <c r="B10" t="s">
        <v>15</v>
      </c>
      <c r="C10" t="s">
        <v>117</v>
      </c>
      <c r="D10" t="s">
        <v>120</v>
      </c>
      <c r="F10" t="s">
        <v>211</v>
      </c>
      <c r="G10" t="s">
        <v>223</v>
      </c>
    </row>
    <row r="11" spans="1:7" x14ac:dyDescent="0.25">
      <c r="A11">
        <v>203</v>
      </c>
      <c r="B11" t="s">
        <v>16</v>
      </c>
      <c r="C11" t="s">
        <v>114</v>
      </c>
      <c r="D11" t="s">
        <v>124</v>
      </c>
      <c r="E11" t="s">
        <v>185</v>
      </c>
      <c r="F11" t="s">
        <v>212</v>
      </c>
      <c r="G11" t="s">
        <v>224</v>
      </c>
    </row>
    <row r="12" spans="1:7" x14ac:dyDescent="0.25">
      <c r="A12">
        <v>215</v>
      </c>
      <c r="B12" t="s">
        <v>17</v>
      </c>
      <c r="C12" t="s">
        <v>115</v>
      </c>
      <c r="F12" t="s">
        <v>210</v>
      </c>
      <c r="G12" t="s">
        <v>225</v>
      </c>
    </row>
    <row r="13" spans="1:7" x14ac:dyDescent="0.25">
      <c r="A13">
        <v>200</v>
      </c>
      <c r="B13" t="s">
        <v>18</v>
      </c>
      <c r="C13" t="s">
        <v>115</v>
      </c>
      <c r="D13" t="s">
        <v>125</v>
      </c>
      <c r="F13" t="s">
        <v>209</v>
      </c>
      <c r="G13" t="s">
        <v>226</v>
      </c>
    </row>
    <row r="14" spans="1:7" x14ac:dyDescent="0.25">
      <c r="A14">
        <v>202</v>
      </c>
      <c r="B14" t="s">
        <v>19</v>
      </c>
      <c r="C14" t="s">
        <v>113</v>
      </c>
      <c r="E14" t="s">
        <v>186</v>
      </c>
      <c r="F14" t="s">
        <v>213</v>
      </c>
      <c r="G14" t="s">
        <v>227</v>
      </c>
    </row>
    <row r="15" spans="1:7" x14ac:dyDescent="0.25">
      <c r="A15">
        <v>201</v>
      </c>
      <c r="B15" t="s">
        <v>20</v>
      </c>
      <c r="C15" t="s">
        <v>115</v>
      </c>
      <c r="D15" t="s">
        <v>126</v>
      </c>
      <c r="E15" t="s">
        <v>186</v>
      </c>
      <c r="F15" t="s">
        <v>212</v>
      </c>
      <c r="G15" t="s">
        <v>228</v>
      </c>
    </row>
    <row r="16" spans="1:7" x14ac:dyDescent="0.25">
      <c r="A16">
        <v>202</v>
      </c>
      <c r="B16" t="s">
        <v>21</v>
      </c>
      <c r="C16" t="s">
        <v>115</v>
      </c>
      <c r="D16" t="s">
        <v>127</v>
      </c>
      <c r="E16" t="s">
        <v>187</v>
      </c>
      <c r="F16" t="s">
        <v>214</v>
      </c>
      <c r="G16" t="s">
        <v>229</v>
      </c>
    </row>
    <row r="17" spans="1:7" x14ac:dyDescent="0.25">
      <c r="A17">
        <v>203</v>
      </c>
      <c r="B17" t="s">
        <v>22</v>
      </c>
      <c r="C17" t="s">
        <v>114</v>
      </c>
      <c r="D17" t="s">
        <v>128</v>
      </c>
      <c r="E17" t="s">
        <v>185</v>
      </c>
      <c r="F17" t="s">
        <v>210</v>
      </c>
      <c r="G17" t="s">
        <v>230</v>
      </c>
    </row>
    <row r="18" spans="1:7" x14ac:dyDescent="0.25">
      <c r="A18">
        <v>212</v>
      </c>
      <c r="B18" t="s">
        <v>23</v>
      </c>
      <c r="C18" t="s">
        <v>114</v>
      </c>
      <c r="D18" t="s">
        <v>129</v>
      </c>
      <c r="E18" t="s">
        <v>188</v>
      </c>
      <c r="F18" t="s">
        <v>211</v>
      </c>
      <c r="G18" t="s">
        <v>231</v>
      </c>
    </row>
    <row r="19" spans="1:7" x14ac:dyDescent="0.25">
      <c r="A19">
        <v>212</v>
      </c>
      <c r="B19" t="s">
        <v>24</v>
      </c>
      <c r="C19" t="s">
        <v>117</v>
      </c>
      <c r="D19" t="s">
        <v>120</v>
      </c>
      <c r="F19" t="s">
        <v>214</v>
      </c>
      <c r="G19" t="s">
        <v>232</v>
      </c>
    </row>
    <row r="20" spans="1:7" x14ac:dyDescent="0.25">
      <c r="A20">
        <v>202</v>
      </c>
      <c r="B20" t="s">
        <v>25</v>
      </c>
      <c r="C20" t="s">
        <v>115</v>
      </c>
      <c r="D20" t="s">
        <v>130</v>
      </c>
      <c r="E20" t="s">
        <v>183</v>
      </c>
      <c r="F20" t="s">
        <v>210</v>
      </c>
      <c r="G20" t="s">
        <v>233</v>
      </c>
    </row>
    <row r="21" spans="1:7" x14ac:dyDescent="0.25">
      <c r="A21">
        <v>201</v>
      </c>
      <c r="B21" t="s">
        <v>26</v>
      </c>
      <c r="C21" t="s">
        <v>113</v>
      </c>
      <c r="D21" t="s">
        <v>131</v>
      </c>
      <c r="E21" t="s">
        <v>189</v>
      </c>
      <c r="F21" t="s">
        <v>211</v>
      </c>
      <c r="G21" t="s">
        <v>234</v>
      </c>
    </row>
    <row r="22" spans="1:7" x14ac:dyDescent="0.25">
      <c r="A22">
        <v>200</v>
      </c>
      <c r="B22" t="s">
        <v>27</v>
      </c>
      <c r="C22" t="s">
        <v>113</v>
      </c>
      <c r="D22" t="s">
        <v>120</v>
      </c>
      <c r="F22" t="s">
        <v>212</v>
      </c>
      <c r="G22" t="s">
        <v>235</v>
      </c>
    </row>
    <row r="23" spans="1:7" x14ac:dyDescent="0.25">
      <c r="A23">
        <v>201</v>
      </c>
      <c r="B23" t="s">
        <v>28</v>
      </c>
      <c r="C23" t="s">
        <v>112</v>
      </c>
      <c r="E23" t="s">
        <v>183</v>
      </c>
      <c r="F23" t="s">
        <v>209</v>
      </c>
      <c r="G23" t="s">
        <v>236</v>
      </c>
    </row>
    <row r="24" spans="1:7" x14ac:dyDescent="0.25">
      <c r="A24">
        <v>208</v>
      </c>
      <c r="B24" t="s">
        <v>29</v>
      </c>
      <c r="C24" t="s">
        <v>114</v>
      </c>
      <c r="E24" t="s">
        <v>183</v>
      </c>
      <c r="F24" t="s">
        <v>213</v>
      </c>
      <c r="G24" t="s">
        <v>237</v>
      </c>
    </row>
    <row r="25" spans="1:7" x14ac:dyDescent="0.25">
      <c r="A25">
        <v>203</v>
      </c>
      <c r="B25" t="s">
        <v>30</v>
      </c>
      <c r="C25" t="s">
        <v>117</v>
      </c>
      <c r="D25" t="s">
        <v>132</v>
      </c>
      <c r="E25" t="s">
        <v>183</v>
      </c>
      <c r="F25" t="s">
        <v>209</v>
      </c>
      <c r="G25" t="s">
        <v>238</v>
      </c>
    </row>
    <row r="26" spans="1:7" x14ac:dyDescent="0.25">
      <c r="A26">
        <v>212</v>
      </c>
      <c r="B26" t="s">
        <v>31</v>
      </c>
      <c r="C26" t="s">
        <v>114</v>
      </c>
      <c r="D26" t="s">
        <v>133</v>
      </c>
      <c r="F26" t="s">
        <v>212</v>
      </c>
      <c r="G26" t="s">
        <v>239</v>
      </c>
    </row>
    <row r="27" spans="1:7" x14ac:dyDescent="0.25">
      <c r="A27">
        <v>214</v>
      </c>
      <c r="B27" t="s">
        <v>32</v>
      </c>
      <c r="C27" t="s">
        <v>117</v>
      </c>
      <c r="D27" t="s">
        <v>134</v>
      </c>
      <c r="E27" t="s">
        <v>183</v>
      </c>
      <c r="F27" t="s">
        <v>209</v>
      </c>
      <c r="G27" t="s">
        <v>240</v>
      </c>
    </row>
    <row r="28" spans="1:7" x14ac:dyDescent="0.25">
      <c r="A28">
        <v>204</v>
      </c>
      <c r="B28" t="s">
        <v>33</v>
      </c>
      <c r="C28" t="s">
        <v>115</v>
      </c>
      <c r="D28" t="s">
        <v>135</v>
      </c>
      <c r="E28" t="s">
        <v>183</v>
      </c>
      <c r="F28" t="s">
        <v>212</v>
      </c>
      <c r="G28" t="s">
        <v>241</v>
      </c>
    </row>
    <row r="29" spans="1:7" x14ac:dyDescent="0.25">
      <c r="A29">
        <v>214</v>
      </c>
      <c r="B29" t="s">
        <v>34</v>
      </c>
      <c r="C29" t="s">
        <v>114</v>
      </c>
      <c r="D29" t="s">
        <v>136</v>
      </c>
      <c r="E29" t="s">
        <v>190</v>
      </c>
      <c r="F29" t="s">
        <v>212</v>
      </c>
      <c r="G29" t="s">
        <v>242</v>
      </c>
    </row>
    <row r="30" spans="1:7" x14ac:dyDescent="0.25">
      <c r="A30">
        <v>212</v>
      </c>
      <c r="B30" t="s">
        <v>35</v>
      </c>
      <c r="C30" t="s">
        <v>112</v>
      </c>
      <c r="D30" t="s">
        <v>137</v>
      </c>
      <c r="E30" t="s">
        <v>186</v>
      </c>
      <c r="F30" t="s">
        <v>212</v>
      </c>
      <c r="G30" t="s">
        <v>243</v>
      </c>
    </row>
    <row r="31" spans="1:7" x14ac:dyDescent="0.25">
      <c r="A31">
        <v>209</v>
      </c>
      <c r="B31" t="s">
        <v>36</v>
      </c>
      <c r="C31" t="s">
        <v>113</v>
      </c>
      <c r="D31" t="s">
        <v>138</v>
      </c>
      <c r="E31" t="s">
        <v>191</v>
      </c>
      <c r="F31" t="s">
        <v>214</v>
      </c>
      <c r="G31" t="s">
        <v>244</v>
      </c>
    </row>
    <row r="32" spans="1:7" x14ac:dyDescent="0.25">
      <c r="A32">
        <v>207</v>
      </c>
      <c r="B32" t="s">
        <v>37</v>
      </c>
      <c r="C32" t="s">
        <v>114</v>
      </c>
      <c r="D32" t="s">
        <v>120</v>
      </c>
      <c r="F32" t="s">
        <v>209</v>
      </c>
      <c r="G32" t="s">
        <v>245</v>
      </c>
    </row>
    <row r="33" spans="1:7" x14ac:dyDescent="0.25">
      <c r="A33">
        <v>206</v>
      </c>
      <c r="B33" t="s">
        <v>38</v>
      </c>
      <c r="C33" t="s">
        <v>112</v>
      </c>
      <c r="E33" t="s">
        <v>183</v>
      </c>
      <c r="F33" t="s">
        <v>209</v>
      </c>
      <c r="G33" t="s">
        <v>246</v>
      </c>
    </row>
    <row r="34" spans="1:7" x14ac:dyDescent="0.25">
      <c r="A34">
        <v>211</v>
      </c>
      <c r="B34" t="s">
        <v>39</v>
      </c>
      <c r="C34" t="s">
        <v>114</v>
      </c>
      <c r="D34" t="s">
        <v>120</v>
      </c>
      <c r="F34" t="s">
        <v>210</v>
      </c>
      <c r="G34" t="s">
        <v>247</v>
      </c>
    </row>
    <row r="35" spans="1:7" x14ac:dyDescent="0.25">
      <c r="A35">
        <v>200</v>
      </c>
      <c r="B35" t="s">
        <v>40</v>
      </c>
      <c r="C35" t="s">
        <v>114</v>
      </c>
      <c r="D35" t="s">
        <v>120</v>
      </c>
      <c r="F35" t="s">
        <v>209</v>
      </c>
      <c r="G35" t="s">
        <v>248</v>
      </c>
    </row>
    <row r="36" spans="1:7" x14ac:dyDescent="0.25">
      <c r="A36">
        <v>206</v>
      </c>
      <c r="B36" t="s">
        <v>41</v>
      </c>
      <c r="C36" t="s">
        <v>112</v>
      </c>
      <c r="D36" t="s">
        <v>139</v>
      </c>
      <c r="F36" t="s">
        <v>209</v>
      </c>
      <c r="G36" t="s">
        <v>249</v>
      </c>
    </row>
    <row r="37" spans="1:7" x14ac:dyDescent="0.25">
      <c r="A37">
        <v>204</v>
      </c>
      <c r="B37" t="s">
        <v>42</v>
      </c>
      <c r="C37" t="s">
        <v>113</v>
      </c>
      <c r="D37" t="s">
        <v>140</v>
      </c>
      <c r="E37" t="s">
        <v>192</v>
      </c>
      <c r="F37" t="s">
        <v>212</v>
      </c>
      <c r="G37" t="s">
        <v>250</v>
      </c>
    </row>
    <row r="38" spans="1:7" x14ac:dyDescent="0.25">
      <c r="A38">
        <v>203</v>
      </c>
      <c r="B38" t="s">
        <v>43</v>
      </c>
      <c r="C38" t="s">
        <v>115</v>
      </c>
      <c r="D38" t="s">
        <v>120</v>
      </c>
      <c r="E38" t="s">
        <v>186</v>
      </c>
      <c r="F38" t="s">
        <v>209</v>
      </c>
      <c r="G38" t="s">
        <v>251</v>
      </c>
    </row>
    <row r="39" spans="1:7" x14ac:dyDescent="0.25">
      <c r="A39">
        <v>212</v>
      </c>
      <c r="B39" t="s">
        <v>44</v>
      </c>
      <c r="C39" t="s">
        <v>113</v>
      </c>
      <c r="D39" t="s">
        <v>141</v>
      </c>
      <c r="E39" t="s">
        <v>186</v>
      </c>
      <c r="F39" t="s">
        <v>213</v>
      </c>
      <c r="G39" t="s">
        <v>252</v>
      </c>
    </row>
    <row r="40" spans="1:7" x14ac:dyDescent="0.25">
      <c r="A40">
        <v>205</v>
      </c>
      <c r="B40" t="s">
        <v>45</v>
      </c>
      <c r="C40" t="s">
        <v>116</v>
      </c>
      <c r="E40" t="s">
        <v>193</v>
      </c>
      <c r="F40" t="s">
        <v>211</v>
      </c>
      <c r="G40" t="s">
        <v>253</v>
      </c>
    </row>
    <row r="41" spans="1:7" x14ac:dyDescent="0.25">
      <c r="A41">
        <v>204</v>
      </c>
      <c r="B41" t="s">
        <v>46</v>
      </c>
      <c r="C41" t="s">
        <v>114</v>
      </c>
      <c r="D41" t="s">
        <v>142</v>
      </c>
      <c r="E41" t="s">
        <v>186</v>
      </c>
      <c r="F41" t="s">
        <v>214</v>
      </c>
      <c r="G41" t="s">
        <v>254</v>
      </c>
    </row>
    <row r="42" spans="1:7" x14ac:dyDescent="0.25">
      <c r="A42">
        <v>208</v>
      </c>
      <c r="B42" t="s">
        <v>47</v>
      </c>
      <c r="C42" t="s">
        <v>115</v>
      </c>
      <c r="E42" t="s">
        <v>183</v>
      </c>
      <c r="F42" t="s">
        <v>214</v>
      </c>
      <c r="G42" t="s">
        <v>255</v>
      </c>
    </row>
    <row r="43" spans="1:7" x14ac:dyDescent="0.25">
      <c r="A43">
        <v>212</v>
      </c>
      <c r="B43" t="s">
        <v>48</v>
      </c>
      <c r="C43" t="s">
        <v>112</v>
      </c>
      <c r="D43" t="s">
        <v>143</v>
      </c>
      <c r="E43" t="s">
        <v>186</v>
      </c>
      <c r="F43" t="s">
        <v>212</v>
      </c>
      <c r="G43" t="s">
        <v>256</v>
      </c>
    </row>
    <row r="44" spans="1:7" x14ac:dyDescent="0.25">
      <c r="A44">
        <v>214</v>
      </c>
      <c r="B44" t="s">
        <v>49</v>
      </c>
      <c r="C44" t="s">
        <v>114</v>
      </c>
      <c r="D44" t="s">
        <v>120</v>
      </c>
      <c r="E44" t="s">
        <v>186</v>
      </c>
      <c r="F44" t="s">
        <v>212</v>
      </c>
      <c r="G44" t="s">
        <v>257</v>
      </c>
    </row>
    <row r="45" spans="1:7" x14ac:dyDescent="0.25">
      <c r="A45">
        <v>210</v>
      </c>
      <c r="B45" t="s">
        <v>50</v>
      </c>
      <c r="C45" t="s">
        <v>115</v>
      </c>
      <c r="D45" t="s">
        <v>144</v>
      </c>
      <c r="E45" t="s">
        <v>186</v>
      </c>
      <c r="F45" t="s">
        <v>211</v>
      </c>
      <c r="G45" t="s">
        <v>258</v>
      </c>
    </row>
    <row r="46" spans="1:7" x14ac:dyDescent="0.25">
      <c r="A46">
        <v>211</v>
      </c>
      <c r="B46" t="s">
        <v>51</v>
      </c>
      <c r="C46" t="s">
        <v>116</v>
      </c>
      <c r="D46" t="s">
        <v>145</v>
      </c>
      <c r="F46" t="s">
        <v>214</v>
      </c>
      <c r="G46" t="s">
        <v>259</v>
      </c>
    </row>
    <row r="47" spans="1:7" x14ac:dyDescent="0.25">
      <c r="A47">
        <v>201</v>
      </c>
      <c r="B47" t="s">
        <v>52</v>
      </c>
      <c r="C47" t="s">
        <v>113</v>
      </c>
      <c r="E47" t="s">
        <v>194</v>
      </c>
      <c r="F47" t="s">
        <v>214</v>
      </c>
      <c r="G47" t="s">
        <v>260</v>
      </c>
    </row>
    <row r="48" spans="1:7" x14ac:dyDescent="0.25">
      <c r="A48">
        <v>209</v>
      </c>
      <c r="B48" t="s">
        <v>53</v>
      </c>
      <c r="C48" t="s">
        <v>113</v>
      </c>
      <c r="D48" t="s">
        <v>146</v>
      </c>
      <c r="E48" t="s">
        <v>195</v>
      </c>
      <c r="F48" t="s">
        <v>211</v>
      </c>
      <c r="G48" t="s">
        <v>261</v>
      </c>
    </row>
    <row r="49" spans="1:7" x14ac:dyDescent="0.25">
      <c r="A49">
        <v>202</v>
      </c>
      <c r="B49" t="s">
        <v>54</v>
      </c>
      <c r="C49" t="s">
        <v>115</v>
      </c>
      <c r="D49" t="s">
        <v>147</v>
      </c>
      <c r="E49" t="s">
        <v>196</v>
      </c>
      <c r="F49" t="s">
        <v>212</v>
      </c>
      <c r="G49" t="s">
        <v>262</v>
      </c>
    </row>
    <row r="50" spans="1:7" x14ac:dyDescent="0.25">
      <c r="A50">
        <v>215</v>
      </c>
      <c r="B50" t="s">
        <v>55</v>
      </c>
      <c r="C50" t="s">
        <v>114</v>
      </c>
      <c r="D50" t="s">
        <v>148</v>
      </c>
      <c r="E50" t="s">
        <v>186</v>
      </c>
      <c r="F50" t="s">
        <v>213</v>
      </c>
      <c r="G50" t="s">
        <v>263</v>
      </c>
    </row>
    <row r="51" spans="1:7" x14ac:dyDescent="0.25">
      <c r="A51">
        <v>202</v>
      </c>
      <c r="B51" t="s">
        <v>56</v>
      </c>
      <c r="C51" t="s">
        <v>113</v>
      </c>
      <c r="D51" t="s">
        <v>149</v>
      </c>
      <c r="E51" t="s">
        <v>186</v>
      </c>
      <c r="F51" t="s">
        <v>210</v>
      </c>
      <c r="G51" t="s">
        <v>264</v>
      </c>
    </row>
    <row r="52" spans="1:7" x14ac:dyDescent="0.25">
      <c r="A52">
        <v>205</v>
      </c>
      <c r="B52" t="s">
        <v>57</v>
      </c>
      <c r="C52" t="s">
        <v>116</v>
      </c>
      <c r="D52" t="s">
        <v>150</v>
      </c>
      <c r="F52" t="s">
        <v>213</v>
      </c>
      <c r="G52" t="s">
        <v>265</v>
      </c>
    </row>
    <row r="53" spans="1:7" x14ac:dyDescent="0.25">
      <c r="A53">
        <v>205</v>
      </c>
      <c r="B53" t="s">
        <v>58</v>
      </c>
      <c r="C53" t="s">
        <v>115</v>
      </c>
      <c r="D53" t="s">
        <v>120</v>
      </c>
      <c r="F53" t="s">
        <v>213</v>
      </c>
      <c r="G53" t="s">
        <v>266</v>
      </c>
    </row>
    <row r="54" spans="1:7" x14ac:dyDescent="0.25">
      <c r="A54">
        <v>213</v>
      </c>
      <c r="B54" t="s">
        <v>59</v>
      </c>
      <c r="C54" t="s">
        <v>116</v>
      </c>
      <c r="E54" t="s">
        <v>182</v>
      </c>
      <c r="F54" t="s">
        <v>214</v>
      </c>
      <c r="G54" t="s">
        <v>267</v>
      </c>
    </row>
    <row r="55" spans="1:7" x14ac:dyDescent="0.25">
      <c r="A55">
        <v>214</v>
      </c>
      <c r="B55" t="s">
        <v>60</v>
      </c>
      <c r="C55" t="s">
        <v>117</v>
      </c>
      <c r="D55" t="s">
        <v>151</v>
      </c>
      <c r="E55" t="s">
        <v>186</v>
      </c>
      <c r="F55" t="s">
        <v>213</v>
      </c>
      <c r="G55" t="s">
        <v>268</v>
      </c>
    </row>
    <row r="56" spans="1:7" x14ac:dyDescent="0.25">
      <c r="A56">
        <v>204</v>
      </c>
      <c r="B56" t="s">
        <v>61</v>
      </c>
      <c r="C56" t="s">
        <v>117</v>
      </c>
      <c r="E56" t="s">
        <v>197</v>
      </c>
      <c r="F56" t="s">
        <v>213</v>
      </c>
      <c r="G56" t="s">
        <v>269</v>
      </c>
    </row>
    <row r="57" spans="1:7" x14ac:dyDescent="0.25">
      <c r="A57">
        <v>203</v>
      </c>
      <c r="B57" t="s">
        <v>62</v>
      </c>
      <c r="C57" t="s">
        <v>113</v>
      </c>
      <c r="D57" t="s">
        <v>152</v>
      </c>
      <c r="E57" t="s">
        <v>182</v>
      </c>
      <c r="F57" t="s">
        <v>211</v>
      </c>
      <c r="G57" t="s">
        <v>270</v>
      </c>
    </row>
    <row r="58" spans="1:7" x14ac:dyDescent="0.25">
      <c r="A58">
        <v>205</v>
      </c>
      <c r="B58" t="s">
        <v>63</v>
      </c>
      <c r="C58" t="s">
        <v>114</v>
      </c>
      <c r="E58" t="s">
        <v>186</v>
      </c>
      <c r="F58" t="s">
        <v>209</v>
      </c>
      <c r="G58" t="s">
        <v>271</v>
      </c>
    </row>
    <row r="59" spans="1:7" x14ac:dyDescent="0.25">
      <c r="A59">
        <v>213</v>
      </c>
      <c r="B59" t="s">
        <v>64</v>
      </c>
      <c r="C59" t="s">
        <v>115</v>
      </c>
      <c r="E59" t="s">
        <v>198</v>
      </c>
      <c r="F59" t="s">
        <v>213</v>
      </c>
      <c r="G59" t="s">
        <v>272</v>
      </c>
    </row>
    <row r="60" spans="1:7" x14ac:dyDescent="0.25">
      <c r="A60">
        <v>211</v>
      </c>
      <c r="B60" t="s">
        <v>65</v>
      </c>
      <c r="C60" t="s">
        <v>112</v>
      </c>
      <c r="D60" t="s">
        <v>153</v>
      </c>
      <c r="E60" t="s">
        <v>186</v>
      </c>
      <c r="F60" t="s">
        <v>211</v>
      </c>
      <c r="G60" t="s">
        <v>273</v>
      </c>
    </row>
    <row r="61" spans="1:7" x14ac:dyDescent="0.25">
      <c r="A61">
        <v>215</v>
      </c>
      <c r="B61" t="s">
        <v>66</v>
      </c>
      <c r="C61" t="s">
        <v>115</v>
      </c>
      <c r="D61" t="s">
        <v>120</v>
      </c>
      <c r="E61" t="s">
        <v>186</v>
      </c>
      <c r="F61" t="s">
        <v>214</v>
      </c>
      <c r="G61" t="s">
        <v>274</v>
      </c>
    </row>
    <row r="62" spans="1:7" x14ac:dyDescent="0.25">
      <c r="A62">
        <v>203</v>
      </c>
      <c r="B62" t="s">
        <v>67</v>
      </c>
      <c r="C62" t="s">
        <v>112</v>
      </c>
      <c r="D62" t="s">
        <v>154</v>
      </c>
      <c r="E62" t="s">
        <v>199</v>
      </c>
      <c r="F62" t="s">
        <v>214</v>
      </c>
      <c r="G62" t="s">
        <v>275</v>
      </c>
    </row>
    <row r="63" spans="1:7" x14ac:dyDescent="0.25">
      <c r="A63">
        <v>201</v>
      </c>
      <c r="B63" t="s">
        <v>68</v>
      </c>
      <c r="C63" t="s">
        <v>116</v>
      </c>
      <c r="D63" t="s">
        <v>155</v>
      </c>
      <c r="F63" t="s">
        <v>210</v>
      </c>
      <c r="G63" t="s">
        <v>276</v>
      </c>
    </row>
    <row r="64" spans="1:7" x14ac:dyDescent="0.25">
      <c r="A64">
        <v>208</v>
      </c>
      <c r="B64" t="s">
        <v>69</v>
      </c>
      <c r="C64" t="s">
        <v>116</v>
      </c>
      <c r="D64" t="s">
        <v>120</v>
      </c>
      <c r="E64" t="s">
        <v>200</v>
      </c>
      <c r="F64" t="s">
        <v>214</v>
      </c>
      <c r="G64" t="s">
        <v>277</v>
      </c>
    </row>
    <row r="65" spans="1:7" x14ac:dyDescent="0.25">
      <c r="A65">
        <v>200</v>
      </c>
      <c r="B65" t="s">
        <v>70</v>
      </c>
      <c r="C65" t="s">
        <v>115</v>
      </c>
      <c r="D65" t="s">
        <v>156</v>
      </c>
      <c r="E65" t="s">
        <v>186</v>
      </c>
      <c r="F65" t="s">
        <v>213</v>
      </c>
      <c r="G65" t="s">
        <v>278</v>
      </c>
    </row>
    <row r="66" spans="1:7" x14ac:dyDescent="0.25">
      <c r="A66">
        <v>212</v>
      </c>
      <c r="B66" t="s">
        <v>71</v>
      </c>
      <c r="C66" t="s">
        <v>116</v>
      </c>
      <c r="D66" t="s">
        <v>157</v>
      </c>
      <c r="F66" t="s">
        <v>214</v>
      </c>
      <c r="G66" t="s">
        <v>279</v>
      </c>
    </row>
    <row r="67" spans="1:7" x14ac:dyDescent="0.25">
      <c r="A67">
        <v>212</v>
      </c>
      <c r="B67" t="s">
        <v>72</v>
      </c>
      <c r="C67" t="s">
        <v>115</v>
      </c>
      <c r="D67" t="s">
        <v>158</v>
      </c>
      <c r="E67" t="s">
        <v>186</v>
      </c>
      <c r="F67" t="s">
        <v>214</v>
      </c>
      <c r="G67" t="s">
        <v>280</v>
      </c>
    </row>
    <row r="68" spans="1:7" x14ac:dyDescent="0.25">
      <c r="A68">
        <v>203</v>
      </c>
      <c r="B68" t="s">
        <v>73</v>
      </c>
      <c r="C68" t="s">
        <v>117</v>
      </c>
      <c r="F68" t="s">
        <v>214</v>
      </c>
      <c r="G68" t="s">
        <v>281</v>
      </c>
    </row>
    <row r="69" spans="1:7" x14ac:dyDescent="0.25">
      <c r="A69">
        <v>213</v>
      </c>
      <c r="B69" t="s">
        <v>74</v>
      </c>
      <c r="C69" t="s">
        <v>113</v>
      </c>
      <c r="F69" t="s">
        <v>211</v>
      </c>
      <c r="G69" t="s">
        <v>282</v>
      </c>
    </row>
    <row r="70" spans="1:7" x14ac:dyDescent="0.25">
      <c r="A70">
        <v>206</v>
      </c>
      <c r="B70" t="s">
        <v>75</v>
      </c>
      <c r="C70" t="s">
        <v>112</v>
      </c>
      <c r="E70" t="s">
        <v>201</v>
      </c>
      <c r="F70" t="s">
        <v>214</v>
      </c>
      <c r="G70" t="s">
        <v>283</v>
      </c>
    </row>
    <row r="71" spans="1:7" x14ac:dyDescent="0.25">
      <c r="A71">
        <v>208</v>
      </c>
      <c r="B71" t="s">
        <v>76</v>
      </c>
      <c r="C71" t="s">
        <v>113</v>
      </c>
      <c r="D71" t="s">
        <v>159</v>
      </c>
      <c r="E71" t="s">
        <v>201</v>
      </c>
      <c r="F71" t="s">
        <v>213</v>
      </c>
      <c r="G71" t="s">
        <v>284</v>
      </c>
    </row>
    <row r="72" spans="1:7" x14ac:dyDescent="0.25">
      <c r="A72">
        <v>215</v>
      </c>
      <c r="B72" t="s">
        <v>77</v>
      </c>
      <c r="C72" t="s">
        <v>113</v>
      </c>
      <c r="D72" t="s">
        <v>120</v>
      </c>
      <c r="E72" t="s">
        <v>186</v>
      </c>
      <c r="F72" t="s">
        <v>214</v>
      </c>
      <c r="G72" t="s">
        <v>285</v>
      </c>
    </row>
    <row r="73" spans="1:7" x14ac:dyDescent="0.25">
      <c r="A73">
        <v>203</v>
      </c>
      <c r="B73" t="s">
        <v>78</v>
      </c>
      <c r="C73" t="s">
        <v>113</v>
      </c>
      <c r="D73" t="s">
        <v>160</v>
      </c>
      <c r="F73" t="s">
        <v>212</v>
      </c>
      <c r="G73" t="s">
        <v>286</v>
      </c>
    </row>
    <row r="74" spans="1:7" x14ac:dyDescent="0.25">
      <c r="A74">
        <v>210</v>
      </c>
      <c r="B74" t="s">
        <v>79</v>
      </c>
      <c r="C74" t="s">
        <v>113</v>
      </c>
      <c r="D74" t="s">
        <v>161</v>
      </c>
      <c r="E74" t="s">
        <v>202</v>
      </c>
      <c r="F74" t="s">
        <v>211</v>
      </c>
      <c r="G74" t="s">
        <v>287</v>
      </c>
    </row>
    <row r="75" spans="1:7" x14ac:dyDescent="0.25">
      <c r="A75">
        <v>210</v>
      </c>
      <c r="B75" t="s">
        <v>80</v>
      </c>
      <c r="C75" t="s">
        <v>116</v>
      </c>
      <c r="D75" t="s">
        <v>120</v>
      </c>
      <c r="E75" t="s">
        <v>186</v>
      </c>
      <c r="F75" t="s">
        <v>213</v>
      </c>
      <c r="G75" t="s">
        <v>288</v>
      </c>
    </row>
    <row r="76" spans="1:7" x14ac:dyDescent="0.25">
      <c r="A76">
        <v>209</v>
      </c>
      <c r="B76" t="s">
        <v>81</v>
      </c>
      <c r="C76" t="s">
        <v>113</v>
      </c>
      <c r="D76" t="s">
        <v>120</v>
      </c>
      <c r="F76" t="s">
        <v>214</v>
      </c>
      <c r="G76" t="s">
        <v>289</v>
      </c>
    </row>
    <row r="77" spans="1:7" x14ac:dyDescent="0.25">
      <c r="A77">
        <v>212</v>
      </c>
      <c r="B77" t="s">
        <v>82</v>
      </c>
      <c r="C77" t="s">
        <v>113</v>
      </c>
      <c r="D77" t="s">
        <v>162</v>
      </c>
      <c r="E77" t="s">
        <v>183</v>
      </c>
      <c r="F77" t="s">
        <v>214</v>
      </c>
      <c r="G77" t="s">
        <v>290</v>
      </c>
    </row>
    <row r="78" spans="1:7" x14ac:dyDescent="0.25">
      <c r="A78">
        <v>205</v>
      </c>
      <c r="B78" t="s">
        <v>83</v>
      </c>
      <c r="C78" t="s">
        <v>114</v>
      </c>
      <c r="D78" t="s">
        <v>163</v>
      </c>
      <c r="F78" t="s">
        <v>213</v>
      </c>
      <c r="G78" t="s">
        <v>291</v>
      </c>
    </row>
    <row r="79" spans="1:7" x14ac:dyDescent="0.25">
      <c r="A79">
        <v>204</v>
      </c>
      <c r="B79" t="s">
        <v>84</v>
      </c>
      <c r="C79" t="s">
        <v>114</v>
      </c>
      <c r="D79" t="s">
        <v>164</v>
      </c>
      <c r="E79" t="s">
        <v>186</v>
      </c>
      <c r="F79" t="s">
        <v>210</v>
      </c>
      <c r="G79" t="s">
        <v>292</v>
      </c>
    </row>
    <row r="80" spans="1:7" x14ac:dyDescent="0.25">
      <c r="A80">
        <v>212</v>
      </c>
      <c r="B80" t="s">
        <v>85</v>
      </c>
      <c r="C80" t="s">
        <v>115</v>
      </c>
      <c r="D80" t="s">
        <v>165</v>
      </c>
      <c r="E80" t="s">
        <v>203</v>
      </c>
      <c r="F80" t="s">
        <v>212</v>
      </c>
      <c r="G80" t="s">
        <v>293</v>
      </c>
    </row>
    <row r="81" spans="1:7" x14ac:dyDescent="0.25">
      <c r="A81">
        <v>210</v>
      </c>
      <c r="B81" t="s">
        <v>86</v>
      </c>
      <c r="C81" t="s">
        <v>114</v>
      </c>
      <c r="D81" t="s">
        <v>120</v>
      </c>
      <c r="F81" t="s">
        <v>209</v>
      </c>
      <c r="G81" t="s">
        <v>294</v>
      </c>
    </row>
    <row r="82" spans="1:7" x14ac:dyDescent="0.25">
      <c r="A82">
        <v>215</v>
      </c>
      <c r="B82" t="s">
        <v>87</v>
      </c>
      <c r="C82" t="s">
        <v>112</v>
      </c>
      <c r="D82" t="s">
        <v>166</v>
      </c>
      <c r="E82" t="s">
        <v>204</v>
      </c>
      <c r="F82" t="s">
        <v>213</v>
      </c>
      <c r="G82" t="s">
        <v>295</v>
      </c>
    </row>
    <row r="83" spans="1:7" x14ac:dyDescent="0.25">
      <c r="A83">
        <v>203</v>
      </c>
      <c r="B83" t="s">
        <v>88</v>
      </c>
      <c r="C83" t="s">
        <v>112</v>
      </c>
      <c r="E83" t="s">
        <v>205</v>
      </c>
      <c r="F83" t="s">
        <v>212</v>
      </c>
      <c r="G83" t="s">
        <v>296</v>
      </c>
    </row>
    <row r="84" spans="1:7" x14ac:dyDescent="0.25">
      <c r="A84">
        <v>205</v>
      </c>
      <c r="B84" t="s">
        <v>89</v>
      </c>
      <c r="C84" t="s">
        <v>114</v>
      </c>
      <c r="F84" t="s">
        <v>212</v>
      </c>
      <c r="G84" t="s">
        <v>297</v>
      </c>
    </row>
    <row r="85" spans="1:7" x14ac:dyDescent="0.25">
      <c r="A85">
        <v>212</v>
      </c>
      <c r="B85" t="s">
        <v>90</v>
      </c>
      <c r="C85" t="s">
        <v>114</v>
      </c>
      <c r="D85" t="s">
        <v>120</v>
      </c>
      <c r="E85" t="s">
        <v>188</v>
      </c>
      <c r="F85" t="s">
        <v>211</v>
      </c>
      <c r="G85" t="s">
        <v>298</v>
      </c>
    </row>
    <row r="86" spans="1:7" x14ac:dyDescent="0.25">
      <c r="A86">
        <v>203</v>
      </c>
      <c r="B86" t="s">
        <v>91</v>
      </c>
      <c r="C86" t="s">
        <v>113</v>
      </c>
      <c r="D86" t="s">
        <v>120</v>
      </c>
      <c r="F86" t="s">
        <v>213</v>
      </c>
      <c r="G86" t="s">
        <v>299</v>
      </c>
    </row>
    <row r="87" spans="1:7" x14ac:dyDescent="0.25">
      <c r="A87">
        <v>213</v>
      </c>
      <c r="B87" t="s">
        <v>92</v>
      </c>
      <c r="C87" t="s">
        <v>112</v>
      </c>
      <c r="D87" t="s">
        <v>167</v>
      </c>
      <c r="F87" t="s">
        <v>213</v>
      </c>
      <c r="G87" t="s">
        <v>300</v>
      </c>
    </row>
    <row r="88" spans="1:7" x14ac:dyDescent="0.25">
      <c r="A88">
        <v>207</v>
      </c>
      <c r="B88" t="s">
        <v>93</v>
      </c>
      <c r="C88" t="s">
        <v>117</v>
      </c>
      <c r="D88" t="s">
        <v>168</v>
      </c>
      <c r="E88" t="s">
        <v>186</v>
      </c>
      <c r="F88" t="s">
        <v>209</v>
      </c>
      <c r="G88" t="s">
        <v>301</v>
      </c>
    </row>
    <row r="89" spans="1:7" x14ac:dyDescent="0.25">
      <c r="A89">
        <v>215</v>
      </c>
      <c r="B89" t="s">
        <v>94</v>
      </c>
      <c r="C89" t="s">
        <v>113</v>
      </c>
      <c r="D89" t="s">
        <v>120</v>
      </c>
      <c r="F89" t="s">
        <v>210</v>
      </c>
      <c r="G89" t="s">
        <v>302</v>
      </c>
    </row>
    <row r="90" spans="1:7" x14ac:dyDescent="0.25">
      <c r="A90">
        <v>213</v>
      </c>
      <c r="B90" t="s">
        <v>95</v>
      </c>
      <c r="C90" t="s">
        <v>117</v>
      </c>
      <c r="E90" t="s">
        <v>183</v>
      </c>
      <c r="F90" t="s">
        <v>210</v>
      </c>
      <c r="G90" t="s">
        <v>303</v>
      </c>
    </row>
    <row r="91" spans="1:7" x14ac:dyDescent="0.25">
      <c r="A91">
        <v>214</v>
      </c>
      <c r="B91" t="s">
        <v>96</v>
      </c>
      <c r="C91" t="s">
        <v>115</v>
      </c>
      <c r="D91" t="s">
        <v>169</v>
      </c>
      <c r="E91" t="s">
        <v>206</v>
      </c>
      <c r="F91" t="s">
        <v>209</v>
      </c>
      <c r="G91" t="s">
        <v>304</v>
      </c>
    </row>
    <row r="92" spans="1:7" x14ac:dyDescent="0.25">
      <c r="A92">
        <v>203</v>
      </c>
      <c r="B92" t="s">
        <v>97</v>
      </c>
      <c r="C92" t="s">
        <v>112</v>
      </c>
      <c r="E92" t="s">
        <v>186</v>
      </c>
      <c r="F92" t="s">
        <v>214</v>
      </c>
      <c r="G92" t="s">
        <v>305</v>
      </c>
    </row>
    <row r="93" spans="1:7" x14ac:dyDescent="0.25">
      <c r="A93">
        <v>203</v>
      </c>
      <c r="B93" t="s">
        <v>98</v>
      </c>
      <c r="C93" t="s">
        <v>116</v>
      </c>
      <c r="F93" t="s">
        <v>213</v>
      </c>
      <c r="G93" t="s">
        <v>306</v>
      </c>
    </row>
    <row r="94" spans="1:7" x14ac:dyDescent="0.25">
      <c r="A94">
        <v>200</v>
      </c>
      <c r="B94" t="s">
        <v>99</v>
      </c>
      <c r="C94" t="s">
        <v>114</v>
      </c>
      <c r="D94" t="s">
        <v>170</v>
      </c>
      <c r="F94" t="s">
        <v>209</v>
      </c>
      <c r="G94" t="s">
        <v>307</v>
      </c>
    </row>
    <row r="95" spans="1:7" x14ac:dyDescent="0.25">
      <c r="A95">
        <v>206</v>
      </c>
      <c r="B95" t="s">
        <v>100</v>
      </c>
      <c r="C95" t="s">
        <v>117</v>
      </c>
      <c r="E95" t="s">
        <v>185</v>
      </c>
      <c r="F95" t="s">
        <v>212</v>
      </c>
      <c r="G95" t="s">
        <v>308</v>
      </c>
    </row>
    <row r="96" spans="1:7" x14ac:dyDescent="0.25">
      <c r="A96">
        <v>204</v>
      </c>
      <c r="B96" t="s">
        <v>101</v>
      </c>
      <c r="C96" t="s">
        <v>116</v>
      </c>
      <c r="D96" t="s">
        <v>171</v>
      </c>
      <c r="E96" t="s">
        <v>183</v>
      </c>
      <c r="F96" t="s">
        <v>212</v>
      </c>
      <c r="G96" t="s">
        <v>309</v>
      </c>
    </row>
    <row r="97" spans="1:7" x14ac:dyDescent="0.25">
      <c r="A97">
        <v>204</v>
      </c>
      <c r="B97" t="s">
        <v>102</v>
      </c>
      <c r="C97" t="s">
        <v>115</v>
      </c>
      <c r="D97" t="s">
        <v>172</v>
      </c>
      <c r="E97" t="s">
        <v>207</v>
      </c>
      <c r="F97" t="s">
        <v>212</v>
      </c>
      <c r="G97" t="s">
        <v>310</v>
      </c>
    </row>
    <row r="98" spans="1:7" x14ac:dyDescent="0.25">
      <c r="A98">
        <v>205</v>
      </c>
      <c r="B98" t="s">
        <v>103</v>
      </c>
      <c r="C98" t="s">
        <v>115</v>
      </c>
      <c r="D98" t="s">
        <v>173</v>
      </c>
      <c r="F98" t="s">
        <v>212</v>
      </c>
      <c r="G98" t="s">
        <v>311</v>
      </c>
    </row>
    <row r="99" spans="1:7" x14ac:dyDescent="0.25">
      <c r="A99">
        <v>208</v>
      </c>
      <c r="B99" t="s">
        <v>104</v>
      </c>
      <c r="C99" t="s">
        <v>114</v>
      </c>
      <c r="D99" t="s">
        <v>174</v>
      </c>
      <c r="E99" t="s">
        <v>208</v>
      </c>
      <c r="F99" t="s">
        <v>212</v>
      </c>
      <c r="G99" t="s">
        <v>312</v>
      </c>
    </row>
    <row r="100" spans="1:7" x14ac:dyDescent="0.25">
      <c r="A100">
        <v>213</v>
      </c>
      <c r="B100" t="s">
        <v>105</v>
      </c>
      <c r="C100" t="s">
        <v>117</v>
      </c>
      <c r="D100" t="s">
        <v>175</v>
      </c>
      <c r="F100" t="s">
        <v>213</v>
      </c>
      <c r="G100" t="s">
        <v>313</v>
      </c>
    </row>
    <row r="101" spans="1:7" x14ac:dyDescent="0.25">
      <c r="A101">
        <v>203</v>
      </c>
      <c r="B101" t="s">
        <v>106</v>
      </c>
      <c r="C101" t="s">
        <v>117</v>
      </c>
      <c r="D101" t="s">
        <v>120</v>
      </c>
      <c r="E101" t="s">
        <v>186</v>
      </c>
      <c r="F101" t="s">
        <v>211</v>
      </c>
      <c r="G101" t="s">
        <v>314</v>
      </c>
    </row>
    <row r="102" spans="1:7" x14ac:dyDescent="0.25">
      <c r="A102">
        <v>204</v>
      </c>
      <c r="B102" t="s">
        <v>107</v>
      </c>
      <c r="C102" t="s">
        <v>112</v>
      </c>
      <c r="D102" t="s">
        <v>176</v>
      </c>
      <c r="F102" t="s">
        <v>211</v>
      </c>
      <c r="G102" t="s">
        <v>315</v>
      </c>
    </row>
    <row r="103" spans="1:7" x14ac:dyDescent="0.25">
      <c r="A103">
        <v>202</v>
      </c>
      <c r="B103" t="s">
        <v>108</v>
      </c>
      <c r="C103" t="s">
        <v>117</v>
      </c>
      <c r="D103" t="s">
        <v>177</v>
      </c>
      <c r="E103" t="s">
        <v>186</v>
      </c>
      <c r="F103" t="s">
        <v>213</v>
      </c>
      <c r="G103" t="s">
        <v>316</v>
      </c>
    </row>
    <row r="104" spans="1:7" x14ac:dyDescent="0.25">
      <c r="A104">
        <v>206</v>
      </c>
      <c r="B104" t="s">
        <v>109</v>
      </c>
      <c r="C104" t="s">
        <v>112</v>
      </c>
      <c r="D104" t="s">
        <v>178</v>
      </c>
      <c r="E104" t="s">
        <v>183</v>
      </c>
      <c r="F104" t="s">
        <v>214</v>
      </c>
      <c r="G104" t="s">
        <v>317</v>
      </c>
    </row>
    <row r="105" spans="1:7" x14ac:dyDescent="0.25">
      <c r="A105">
        <v>214</v>
      </c>
      <c r="B105" t="s">
        <v>110</v>
      </c>
      <c r="C105" t="s">
        <v>116</v>
      </c>
      <c r="D105" t="s">
        <v>179</v>
      </c>
      <c r="E105" t="s">
        <v>208</v>
      </c>
      <c r="F105" t="s">
        <v>211</v>
      </c>
      <c r="G105" t="s">
        <v>318</v>
      </c>
    </row>
    <row r="106" spans="1:7" x14ac:dyDescent="0.25">
      <c r="A106">
        <v>215</v>
      </c>
      <c r="B106" t="s">
        <v>111</v>
      </c>
      <c r="C106" t="s">
        <v>117</v>
      </c>
      <c r="D106" t="s">
        <v>120</v>
      </c>
      <c r="E106" t="s">
        <v>182</v>
      </c>
      <c r="F106" t="s">
        <v>213</v>
      </c>
      <c r="G106" t="s">
        <v>319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D6AE0-2344-4B94-B01F-A6C2EC5BEE94}">
  <dimension ref="A3:B14"/>
  <sheetViews>
    <sheetView topLeftCell="A7" workbookViewId="0">
      <selection activeCell="B20" sqref="B20"/>
    </sheetView>
  </sheetViews>
  <sheetFormatPr defaultRowHeight="15" x14ac:dyDescent="0.25"/>
  <cols>
    <col min="1" max="1" width="14.5703125" bestFit="1" customWidth="1"/>
    <col min="2" max="3" width="20" bestFit="1" customWidth="1"/>
  </cols>
  <sheetData>
    <row r="3" spans="1:2" x14ac:dyDescent="0.25">
      <c r="A3" s="3" t="s">
        <v>344</v>
      </c>
      <c r="B3" t="s">
        <v>347</v>
      </c>
    </row>
    <row r="4" spans="1:2" x14ac:dyDescent="0.25">
      <c r="A4" s="4" t="s">
        <v>325</v>
      </c>
      <c r="B4" s="2">
        <v>6</v>
      </c>
    </row>
    <row r="5" spans="1:2" x14ac:dyDescent="0.25">
      <c r="A5" s="5" t="s">
        <v>341</v>
      </c>
      <c r="B5" s="2">
        <v>6</v>
      </c>
    </row>
    <row r="6" spans="1:2" x14ac:dyDescent="0.25">
      <c r="A6" s="4" t="s">
        <v>322</v>
      </c>
      <c r="B6" s="2">
        <v>4</v>
      </c>
    </row>
    <row r="7" spans="1:2" x14ac:dyDescent="0.25">
      <c r="A7" s="5" t="s">
        <v>341</v>
      </c>
      <c r="B7" s="2">
        <v>4</v>
      </c>
    </row>
    <row r="8" spans="1:2" x14ac:dyDescent="0.25">
      <c r="A8" s="4" t="s">
        <v>321</v>
      </c>
      <c r="B8" s="2">
        <v>2</v>
      </c>
    </row>
    <row r="9" spans="1:2" x14ac:dyDescent="0.25">
      <c r="A9" s="5" t="s">
        <v>341</v>
      </c>
      <c r="B9" s="2">
        <v>2</v>
      </c>
    </row>
    <row r="10" spans="1:2" x14ac:dyDescent="0.25">
      <c r="A10" s="4" t="s">
        <v>324</v>
      </c>
      <c r="B10" s="2">
        <v>10</v>
      </c>
    </row>
    <row r="11" spans="1:2" x14ac:dyDescent="0.25">
      <c r="A11" s="5" t="s">
        <v>341</v>
      </c>
      <c r="B11" s="2">
        <v>10</v>
      </c>
    </row>
    <row r="12" spans="1:2" x14ac:dyDescent="0.25">
      <c r="A12" s="4" t="s">
        <v>323</v>
      </c>
      <c r="B12" s="2">
        <v>3</v>
      </c>
    </row>
    <row r="13" spans="1:2" x14ac:dyDescent="0.25">
      <c r="A13" s="5" t="s">
        <v>341</v>
      </c>
      <c r="B13" s="2">
        <v>3</v>
      </c>
    </row>
    <row r="14" spans="1:2" x14ac:dyDescent="0.25">
      <c r="A14" s="4" t="s">
        <v>345</v>
      </c>
      <c r="B14" s="2">
        <v>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134E-1BB6-4981-A5DF-8542C2BF821F}">
  <dimension ref="A3:C10"/>
  <sheetViews>
    <sheetView workbookViewId="0">
      <selection activeCell="C11" sqref="C11"/>
    </sheetView>
  </sheetViews>
  <sheetFormatPr defaultRowHeight="15" x14ac:dyDescent="0.25"/>
  <cols>
    <col min="1" max="1" width="13.140625" bestFit="1" customWidth="1"/>
    <col min="2" max="2" width="30.7109375" bestFit="1" customWidth="1"/>
  </cols>
  <sheetData>
    <row r="3" spans="1:3" x14ac:dyDescent="0.25">
      <c r="A3" s="3" t="s">
        <v>344</v>
      </c>
      <c r="B3" t="s">
        <v>346</v>
      </c>
    </row>
    <row r="4" spans="1:3" x14ac:dyDescent="0.25">
      <c r="A4" s="4" t="s">
        <v>339</v>
      </c>
      <c r="B4" s="2">
        <v>16485462.666666666</v>
      </c>
    </row>
    <row r="5" spans="1:3" x14ac:dyDescent="0.25">
      <c r="A5" s="4" t="s">
        <v>333</v>
      </c>
      <c r="B5" s="2">
        <v>19979468.75</v>
      </c>
    </row>
    <row r="6" spans="1:3" x14ac:dyDescent="0.25">
      <c r="A6" s="4" t="s">
        <v>343</v>
      </c>
      <c r="B6" s="2">
        <v>25729743.333333332</v>
      </c>
    </row>
    <row r="7" spans="1:3" x14ac:dyDescent="0.25">
      <c r="A7" s="4" t="s">
        <v>335</v>
      </c>
      <c r="B7" s="2">
        <v>26895857.666666668</v>
      </c>
    </row>
    <row r="8" spans="1:3" x14ac:dyDescent="0.25">
      <c r="A8" s="4" t="s">
        <v>340</v>
      </c>
      <c r="B8" s="2">
        <v>34710810.200000003</v>
      </c>
    </row>
    <row r="9" spans="1:3" x14ac:dyDescent="0.25">
      <c r="A9" s="4" t="s">
        <v>342</v>
      </c>
      <c r="B9" s="2">
        <v>35682820.428571425</v>
      </c>
    </row>
    <row r="10" spans="1:3" x14ac:dyDescent="0.25">
      <c r="A10" s="4" t="s">
        <v>345</v>
      </c>
      <c r="B10" s="2">
        <v>28423394.399999999</v>
      </c>
      <c r="C10">
        <f>GETPIVOTDATA("Estimated cost (NGN)",$A$3)</f>
        <v>28423394.399999999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4572-8B17-49D5-A57B-F7ACF9AC395C}">
  <dimension ref="A3:B8"/>
  <sheetViews>
    <sheetView workbookViewId="0">
      <selection activeCell="B19" sqref="B19"/>
    </sheetView>
  </sheetViews>
  <sheetFormatPr defaultRowHeight="15" x14ac:dyDescent="0.25"/>
  <cols>
    <col min="1" max="1" width="15" bestFit="1" customWidth="1"/>
    <col min="2" max="2" width="14.5703125" bestFit="1" customWidth="1"/>
  </cols>
  <sheetData>
    <row r="3" spans="1:2" x14ac:dyDescent="0.25">
      <c r="A3" s="3" t="s">
        <v>344</v>
      </c>
      <c r="B3" t="s">
        <v>348</v>
      </c>
    </row>
    <row r="4" spans="1:2" x14ac:dyDescent="0.25">
      <c r="A4" s="4" t="s">
        <v>341</v>
      </c>
      <c r="B4" s="2">
        <v>25</v>
      </c>
    </row>
    <row r="5" spans="1:2" x14ac:dyDescent="0.25">
      <c r="A5" s="5" t="s">
        <v>338</v>
      </c>
      <c r="B5" s="2">
        <v>1</v>
      </c>
    </row>
    <row r="6" spans="1:2" x14ac:dyDescent="0.25">
      <c r="A6" s="5" t="s">
        <v>213</v>
      </c>
      <c r="B6" s="2">
        <v>10</v>
      </c>
    </row>
    <row r="7" spans="1:2" x14ac:dyDescent="0.25">
      <c r="A7" s="5" t="s">
        <v>332</v>
      </c>
      <c r="B7" s="2">
        <v>14</v>
      </c>
    </row>
    <row r="8" spans="1:2" x14ac:dyDescent="0.25">
      <c r="A8" s="4" t="s">
        <v>345</v>
      </c>
      <c r="B8" s="2">
        <v>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5448-4A4C-4444-8B1E-B324B14CBABD}">
  <dimension ref="A3:C9"/>
  <sheetViews>
    <sheetView workbookViewId="0">
      <selection activeCell="C10" sqref="C10"/>
    </sheetView>
  </sheetViews>
  <sheetFormatPr defaultRowHeight="15" x14ac:dyDescent="0.25"/>
  <cols>
    <col min="1" max="1" width="13.140625" bestFit="1" customWidth="1"/>
    <col min="2" max="2" width="27.140625" bestFit="1" customWidth="1"/>
    <col min="3" max="3" width="11" bestFit="1" customWidth="1"/>
  </cols>
  <sheetData>
    <row r="3" spans="1:3" x14ac:dyDescent="0.25">
      <c r="A3" s="3" t="s">
        <v>344</v>
      </c>
      <c r="B3" t="s">
        <v>349</v>
      </c>
    </row>
    <row r="4" spans="1:3" x14ac:dyDescent="0.25">
      <c r="A4" s="4" t="s">
        <v>325</v>
      </c>
      <c r="B4" s="2">
        <v>30000000</v>
      </c>
    </row>
    <row r="5" spans="1:3" x14ac:dyDescent="0.25">
      <c r="A5" s="4" t="s">
        <v>323</v>
      </c>
      <c r="B5" s="2">
        <v>43493776</v>
      </c>
    </row>
    <row r="6" spans="1:3" x14ac:dyDescent="0.25">
      <c r="A6" s="4" t="s">
        <v>322</v>
      </c>
      <c r="B6" s="2">
        <v>46297507</v>
      </c>
    </row>
    <row r="7" spans="1:3" x14ac:dyDescent="0.25">
      <c r="A7" s="4" t="s">
        <v>321</v>
      </c>
      <c r="B7" s="2">
        <v>49505687</v>
      </c>
    </row>
    <row r="8" spans="1:3" x14ac:dyDescent="0.25">
      <c r="A8" s="4" t="s">
        <v>324</v>
      </c>
      <c r="B8" s="2">
        <v>221761986</v>
      </c>
    </row>
    <row r="9" spans="1:3" x14ac:dyDescent="0.25">
      <c r="A9" s="4" t="s">
        <v>345</v>
      </c>
      <c r="B9" s="2">
        <v>391058956</v>
      </c>
      <c r="C9">
        <f>GETPIVOTDATA("Estimated cost (NGN)",$A$3)</f>
        <v>391058956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FBAB-A7F2-4906-80C1-8064AC9ABC21}">
  <dimension ref="A1:J106"/>
  <sheetViews>
    <sheetView topLeftCell="A2" workbookViewId="0">
      <selection activeCell="B2" sqref="B2"/>
    </sheetView>
  </sheetViews>
  <sheetFormatPr defaultRowHeight="15" x14ac:dyDescent="0.25"/>
  <cols>
    <col min="1" max="1" width="11.85546875" bestFit="1" customWidth="1"/>
    <col min="2" max="2" width="13.140625" bestFit="1" customWidth="1"/>
    <col min="3" max="3" width="14" bestFit="1" customWidth="1"/>
    <col min="4" max="4" width="13.42578125" bestFit="1" customWidth="1"/>
    <col min="5" max="5" width="17" bestFit="1" customWidth="1"/>
    <col min="6" max="6" width="11.28515625" bestFit="1" customWidth="1"/>
    <col min="7" max="7" width="16.85546875" bestFit="1" customWidth="1"/>
    <col min="8" max="8" width="19.85546875" bestFit="1" customWidth="1"/>
    <col min="9" max="9" width="22.5703125" bestFit="1" customWidth="1"/>
    <col min="10" max="10" width="14.28515625" bestFit="1" customWidth="1"/>
  </cols>
  <sheetData>
    <row r="1" spans="1:10" x14ac:dyDescent="0.25">
      <c r="A1" s="2" t="s">
        <v>0</v>
      </c>
      <c r="B1" s="2" t="s">
        <v>320</v>
      </c>
      <c r="C1" s="2" t="s">
        <v>326</v>
      </c>
      <c r="D1" s="2" t="s">
        <v>327</v>
      </c>
      <c r="E1" s="2" t="s">
        <v>2</v>
      </c>
      <c r="F1" s="2" t="s">
        <v>5</v>
      </c>
      <c r="G1" s="2" t="s">
        <v>6</v>
      </c>
      <c r="H1" s="2" t="s">
        <v>328</v>
      </c>
      <c r="I1" s="2" t="s">
        <v>329</v>
      </c>
      <c r="J1" s="2" t="s">
        <v>330</v>
      </c>
    </row>
    <row r="2" spans="1:10" x14ac:dyDescent="0.25">
      <c r="A2" s="2">
        <v>211</v>
      </c>
      <c r="B2" s="2" t="s">
        <v>321</v>
      </c>
      <c r="C2" s="2" t="s">
        <v>331</v>
      </c>
      <c r="D2" s="2">
        <v>4579</v>
      </c>
      <c r="E2" s="2" t="s">
        <v>112</v>
      </c>
      <c r="F2" s="2" t="s">
        <v>332</v>
      </c>
      <c r="G2" s="2" t="s">
        <v>333</v>
      </c>
      <c r="H2" s="2">
        <v>487</v>
      </c>
      <c r="I2" s="2">
        <v>17197855</v>
      </c>
      <c r="J2" s="2">
        <v>64</v>
      </c>
    </row>
    <row r="3" spans="1:10" x14ac:dyDescent="0.25">
      <c r="A3" s="2">
        <v>206</v>
      </c>
      <c r="B3" s="2" t="s">
        <v>321</v>
      </c>
      <c r="C3" s="2" t="s">
        <v>334</v>
      </c>
      <c r="D3" s="2">
        <v>1870</v>
      </c>
      <c r="E3" s="2" t="s">
        <v>112</v>
      </c>
      <c r="F3" s="2" t="s">
        <v>332</v>
      </c>
      <c r="G3" s="2" t="s">
        <v>335</v>
      </c>
      <c r="H3" s="2">
        <v>679</v>
      </c>
      <c r="I3" s="2">
        <v>22581140</v>
      </c>
      <c r="J3" s="2">
        <v>1</v>
      </c>
    </row>
    <row r="4" spans="1:10" x14ac:dyDescent="0.25">
      <c r="A4" s="2">
        <v>203</v>
      </c>
      <c r="B4" s="2" t="s">
        <v>321</v>
      </c>
      <c r="C4" s="2" t="s">
        <v>336</v>
      </c>
      <c r="D4" s="2">
        <v>5173</v>
      </c>
      <c r="E4" s="2" t="s">
        <v>116</v>
      </c>
      <c r="F4" s="2" t="s">
        <v>213</v>
      </c>
      <c r="G4" s="2" t="s">
        <v>333</v>
      </c>
      <c r="H4" s="2">
        <v>394</v>
      </c>
      <c r="I4" s="2">
        <v>30000000</v>
      </c>
      <c r="J4" s="2">
        <v>64</v>
      </c>
    </row>
    <row r="5" spans="1:10" x14ac:dyDescent="0.25">
      <c r="A5" s="2">
        <v>208</v>
      </c>
      <c r="B5" s="2" t="s">
        <v>322</v>
      </c>
      <c r="C5" s="2" t="s">
        <v>337</v>
      </c>
      <c r="D5" s="2">
        <v>7127</v>
      </c>
      <c r="E5" s="2" t="s">
        <v>112</v>
      </c>
      <c r="F5" s="2" t="s">
        <v>338</v>
      </c>
      <c r="G5" s="2" t="s">
        <v>339</v>
      </c>
      <c r="H5" s="2">
        <v>24</v>
      </c>
      <c r="I5" s="2">
        <v>15246906</v>
      </c>
      <c r="J5" s="2">
        <v>19</v>
      </c>
    </row>
    <row r="6" spans="1:10" x14ac:dyDescent="0.25">
      <c r="A6" s="2">
        <v>208</v>
      </c>
      <c r="B6" s="2" t="s">
        <v>323</v>
      </c>
      <c r="C6" s="2" t="s">
        <v>331</v>
      </c>
      <c r="D6" s="2">
        <v>7199</v>
      </c>
      <c r="E6" s="2" t="s">
        <v>116</v>
      </c>
      <c r="F6" s="2" t="s">
        <v>332</v>
      </c>
      <c r="G6" s="2" t="s">
        <v>340</v>
      </c>
      <c r="H6" s="2">
        <v>24</v>
      </c>
      <c r="I6" s="2">
        <v>30000000</v>
      </c>
      <c r="J6" s="2">
        <v>172</v>
      </c>
    </row>
    <row r="7" spans="1:10" x14ac:dyDescent="0.25">
      <c r="A7" s="2">
        <v>212</v>
      </c>
      <c r="B7" s="2" t="s">
        <v>324</v>
      </c>
      <c r="C7" s="2" t="s">
        <v>334</v>
      </c>
      <c r="D7" s="2">
        <v>6261</v>
      </c>
      <c r="E7" s="2" t="s">
        <v>112</v>
      </c>
      <c r="F7" s="2" t="s">
        <v>213</v>
      </c>
      <c r="G7" s="2" t="s">
        <v>339</v>
      </c>
      <c r="H7" s="2">
        <v>365</v>
      </c>
      <c r="I7" s="2">
        <v>36525142</v>
      </c>
      <c r="J7" s="2">
        <v>50</v>
      </c>
    </row>
    <row r="8" spans="1:10" x14ac:dyDescent="0.25">
      <c r="A8" s="2">
        <v>206</v>
      </c>
      <c r="B8" s="2" t="s">
        <v>325</v>
      </c>
      <c r="C8" s="2" t="s">
        <v>334</v>
      </c>
      <c r="D8" s="2">
        <v>4009</v>
      </c>
      <c r="E8" s="2" t="s">
        <v>116</v>
      </c>
      <c r="F8" s="2" t="s">
        <v>332</v>
      </c>
      <c r="G8" s="2" t="s">
        <v>339</v>
      </c>
      <c r="H8" s="2">
        <v>877</v>
      </c>
      <c r="I8" s="2">
        <v>38315246</v>
      </c>
      <c r="J8" s="2">
        <v>79</v>
      </c>
    </row>
    <row r="9" spans="1:10" x14ac:dyDescent="0.25">
      <c r="A9" s="2">
        <v>205</v>
      </c>
      <c r="B9" s="2" t="s">
        <v>322</v>
      </c>
      <c r="C9" s="2" t="s">
        <v>334</v>
      </c>
      <c r="D9" s="2">
        <v>8582</v>
      </c>
      <c r="E9" s="2" t="s">
        <v>112</v>
      </c>
      <c r="F9" s="2" t="s">
        <v>213</v>
      </c>
      <c r="G9" s="2" t="s">
        <v>335</v>
      </c>
      <c r="H9" s="2">
        <v>17</v>
      </c>
      <c r="I9" s="2">
        <v>30000000</v>
      </c>
      <c r="J9" s="2">
        <v>111</v>
      </c>
    </row>
    <row r="10" spans="1:10" x14ac:dyDescent="0.25">
      <c r="A10" s="2">
        <v>200</v>
      </c>
      <c r="B10" s="2" t="s">
        <v>324</v>
      </c>
      <c r="C10" s="2" t="s">
        <v>341</v>
      </c>
      <c r="D10" s="2">
        <v>6092</v>
      </c>
      <c r="E10" s="2" t="s">
        <v>116</v>
      </c>
      <c r="F10" s="2" t="s">
        <v>332</v>
      </c>
      <c r="G10" s="2" t="s">
        <v>340</v>
      </c>
      <c r="H10" s="2">
        <v>491</v>
      </c>
      <c r="I10" s="2">
        <v>30000000</v>
      </c>
      <c r="J10" s="2">
        <v>102</v>
      </c>
    </row>
    <row r="11" spans="1:10" x14ac:dyDescent="0.25">
      <c r="A11" s="2">
        <v>203</v>
      </c>
      <c r="B11" s="2" t="s">
        <v>322</v>
      </c>
      <c r="C11" s="2" t="s">
        <v>336</v>
      </c>
      <c r="D11" s="2">
        <v>4118</v>
      </c>
      <c r="E11" s="2" t="s">
        <v>112</v>
      </c>
      <c r="F11" s="2" t="s">
        <v>213</v>
      </c>
      <c r="G11" s="2" t="s">
        <v>339</v>
      </c>
      <c r="H11" s="2">
        <v>865</v>
      </c>
      <c r="I11" s="2">
        <v>1560032</v>
      </c>
      <c r="J11" s="2">
        <v>2</v>
      </c>
    </row>
    <row r="12" spans="1:10" x14ac:dyDescent="0.25">
      <c r="A12" s="2">
        <v>215</v>
      </c>
      <c r="B12" s="2" t="s">
        <v>323</v>
      </c>
      <c r="C12" s="2" t="s">
        <v>334</v>
      </c>
      <c r="D12" s="2">
        <v>6616</v>
      </c>
      <c r="E12" s="2" t="s">
        <v>112</v>
      </c>
      <c r="F12" s="2" t="s">
        <v>338</v>
      </c>
      <c r="G12" s="2" t="s">
        <v>339</v>
      </c>
      <c r="H12" s="2">
        <v>335</v>
      </c>
      <c r="I12" s="2">
        <v>31552353</v>
      </c>
      <c r="J12" s="2">
        <v>72</v>
      </c>
    </row>
    <row r="13" spans="1:10" x14ac:dyDescent="0.25">
      <c r="A13" s="2">
        <v>200</v>
      </c>
      <c r="B13" s="2" t="s">
        <v>324</v>
      </c>
      <c r="C13" s="2" t="s">
        <v>341</v>
      </c>
      <c r="D13" s="2">
        <v>2552</v>
      </c>
      <c r="E13" s="2" t="s">
        <v>112</v>
      </c>
      <c r="F13" s="2" t="s">
        <v>332</v>
      </c>
      <c r="G13" s="2" t="s">
        <v>340</v>
      </c>
      <c r="H13" s="2">
        <v>117</v>
      </c>
      <c r="I13" s="2">
        <v>28968682</v>
      </c>
      <c r="J13" s="2">
        <v>102</v>
      </c>
    </row>
    <row r="14" spans="1:10" x14ac:dyDescent="0.25">
      <c r="A14" s="2">
        <v>202</v>
      </c>
      <c r="B14" s="2" t="s">
        <v>323</v>
      </c>
      <c r="C14" s="2" t="s">
        <v>336</v>
      </c>
      <c r="D14" s="2">
        <v>5062</v>
      </c>
      <c r="E14" s="2" t="s">
        <v>116</v>
      </c>
      <c r="F14" s="2" t="s">
        <v>213</v>
      </c>
      <c r="G14" s="2" t="s">
        <v>342</v>
      </c>
      <c r="H14" s="2">
        <v>603</v>
      </c>
      <c r="I14" s="2">
        <v>31552353</v>
      </c>
      <c r="J14" s="2">
        <v>100</v>
      </c>
    </row>
    <row r="15" spans="1:10" x14ac:dyDescent="0.25">
      <c r="A15" s="2">
        <v>201</v>
      </c>
      <c r="B15" s="2" t="s">
        <v>325</v>
      </c>
      <c r="C15" s="2" t="s">
        <v>341</v>
      </c>
      <c r="D15" s="2">
        <v>4288</v>
      </c>
      <c r="E15" s="2" t="s">
        <v>112</v>
      </c>
      <c r="F15" s="2" t="s">
        <v>213</v>
      </c>
      <c r="G15" s="2" t="s">
        <v>342</v>
      </c>
      <c r="H15" s="2">
        <v>223</v>
      </c>
      <c r="I15" s="2">
        <v>40187222</v>
      </c>
      <c r="J15" s="2">
        <v>100</v>
      </c>
    </row>
    <row r="16" spans="1:10" x14ac:dyDescent="0.25">
      <c r="A16" s="2">
        <v>202</v>
      </c>
      <c r="B16" s="2" t="s">
        <v>323</v>
      </c>
      <c r="C16" s="2" t="s">
        <v>337</v>
      </c>
      <c r="D16" s="2">
        <v>9549</v>
      </c>
      <c r="E16" s="2" t="s">
        <v>112</v>
      </c>
      <c r="F16" s="2" t="s">
        <v>332</v>
      </c>
      <c r="G16" s="2" t="s">
        <v>333</v>
      </c>
      <c r="H16" s="2">
        <v>124</v>
      </c>
      <c r="I16" s="2">
        <v>12817764</v>
      </c>
      <c r="J16" s="2">
        <v>86</v>
      </c>
    </row>
    <row r="17" spans="1:10" x14ac:dyDescent="0.25">
      <c r="A17" s="2">
        <v>203</v>
      </c>
      <c r="B17" s="2" t="s">
        <v>323</v>
      </c>
      <c r="C17" s="2" t="s">
        <v>341</v>
      </c>
      <c r="D17" s="2">
        <v>5974</v>
      </c>
      <c r="E17" s="2" t="s">
        <v>112</v>
      </c>
      <c r="F17" s="2" t="s">
        <v>338</v>
      </c>
      <c r="G17" s="2" t="s">
        <v>340</v>
      </c>
      <c r="H17" s="2">
        <v>379</v>
      </c>
      <c r="I17" s="2">
        <v>49715790</v>
      </c>
      <c r="J17" s="2">
        <v>2</v>
      </c>
    </row>
    <row r="18" spans="1:10" x14ac:dyDescent="0.25">
      <c r="A18" s="2">
        <v>212</v>
      </c>
      <c r="B18" s="2" t="s">
        <v>322</v>
      </c>
      <c r="C18" s="2" t="s">
        <v>331</v>
      </c>
      <c r="D18" s="2">
        <v>3281</v>
      </c>
      <c r="E18" s="2" t="s">
        <v>112</v>
      </c>
      <c r="F18" s="2" t="s">
        <v>332</v>
      </c>
      <c r="G18" s="2" t="s">
        <v>343</v>
      </c>
      <c r="H18" s="2">
        <v>279</v>
      </c>
      <c r="I18" s="2">
        <v>34804492</v>
      </c>
      <c r="J18" s="2">
        <v>7</v>
      </c>
    </row>
    <row r="19" spans="1:10" x14ac:dyDescent="0.25">
      <c r="A19" s="2">
        <v>212</v>
      </c>
      <c r="B19" s="2" t="s">
        <v>323</v>
      </c>
      <c r="C19" s="2" t="s">
        <v>341</v>
      </c>
      <c r="D19" s="2">
        <v>1471</v>
      </c>
      <c r="E19" s="2" t="s">
        <v>116</v>
      </c>
      <c r="F19" s="2" t="s">
        <v>332</v>
      </c>
      <c r="G19" s="2" t="s">
        <v>335</v>
      </c>
      <c r="H19" s="2">
        <v>27</v>
      </c>
      <c r="I19" s="2">
        <v>30000000</v>
      </c>
      <c r="J19" s="2">
        <v>72</v>
      </c>
    </row>
    <row r="20" spans="1:10" x14ac:dyDescent="0.25">
      <c r="A20" s="2">
        <v>202</v>
      </c>
      <c r="B20" s="2" t="s">
        <v>321</v>
      </c>
      <c r="C20" s="2" t="s">
        <v>337</v>
      </c>
      <c r="D20" s="2">
        <v>6223</v>
      </c>
      <c r="E20" s="2" t="s">
        <v>112</v>
      </c>
      <c r="F20" s="2" t="s">
        <v>338</v>
      </c>
      <c r="G20" s="2" t="s">
        <v>333</v>
      </c>
      <c r="H20" s="2">
        <v>298</v>
      </c>
      <c r="I20" s="2">
        <v>11627279</v>
      </c>
      <c r="J20" s="2">
        <v>50</v>
      </c>
    </row>
    <row r="21" spans="1:10" x14ac:dyDescent="0.25">
      <c r="A21">
        <v>201</v>
      </c>
      <c r="B21" s="2" t="s">
        <v>324</v>
      </c>
      <c r="C21" s="2" t="s">
        <v>334</v>
      </c>
      <c r="D21">
        <v>1832</v>
      </c>
      <c r="E21" s="2" t="s">
        <v>116</v>
      </c>
      <c r="F21" s="2" t="s">
        <v>332</v>
      </c>
      <c r="G21" s="2" t="s">
        <v>340</v>
      </c>
      <c r="H21">
        <v>42</v>
      </c>
      <c r="I21">
        <v>14179399</v>
      </c>
      <c r="J21">
        <v>83</v>
      </c>
    </row>
    <row r="22" spans="1:10" x14ac:dyDescent="0.25">
      <c r="A22">
        <v>200</v>
      </c>
      <c r="B22" s="2" t="s">
        <v>325</v>
      </c>
      <c r="C22" s="2" t="s">
        <v>341</v>
      </c>
      <c r="D22">
        <v>2787</v>
      </c>
      <c r="E22" s="2" t="s">
        <v>116</v>
      </c>
      <c r="F22" s="2" t="s">
        <v>213</v>
      </c>
      <c r="G22" s="2" t="s">
        <v>342</v>
      </c>
      <c r="H22">
        <v>455</v>
      </c>
      <c r="I22">
        <v>30000000</v>
      </c>
      <c r="J22">
        <v>79</v>
      </c>
    </row>
    <row r="23" spans="1:10" x14ac:dyDescent="0.25">
      <c r="A23">
        <v>201</v>
      </c>
      <c r="B23" s="2" t="s">
        <v>323</v>
      </c>
      <c r="C23" s="2" t="s">
        <v>334</v>
      </c>
      <c r="D23">
        <v>8407</v>
      </c>
      <c r="E23" s="2" t="s">
        <v>112</v>
      </c>
      <c r="F23" s="2" t="s">
        <v>332</v>
      </c>
      <c r="G23" s="2" t="s">
        <v>342</v>
      </c>
      <c r="H23">
        <v>5</v>
      </c>
      <c r="I23">
        <v>31552353</v>
      </c>
      <c r="J23">
        <v>50</v>
      </c>
    </row>
    <row r="24" spans="1:10" x14ac:dyDescent="0.25">
      <c r="A24">
        <v>208</v>
      </c>
      <c r="B24" s="2" t="s">
        <v>325</v>
      </c>
      <c r="C24" s="2" t="s">
        <v>331</v>
      </c>
      <c r="D24">
        <v>2713</v>
      </c>
      <c r="E24" s="2" t="s">
        <v>112</v>
      </c>
      <c r="F24" s="2" t="s">
        <v>213</v>
      </c>
      <c r="G24" s="2" t="s">
        <v>339</v>
      </c>
      <c r="H24">
        <v>30</v>
      </c>
      <c r="I24">
        <v>30912481</v>
      </c>
      <c r="J24">
        <v>50</v>
      </c>
    </row>
    <row r="25" spans="1:10" x14ac:dyDescent="0.25">
      <c r="A25">
        <v>203</v>
      </c>
      <c r="B25" s="2" t="s">
        <v>324</v>
      </c>
      <c r="C25" s="2" t="s">
        <v>341</v>
      </c>
      <c r="D25">
        <v>9794</v>
      </c>
      <c r="E25" s="2" t="s">
        <v>116</v>
      </c>
      <c r="F25" s="2" t="s">
        <v>332</v>
      </c>
      <c r="G25" s="2" t="s">
        <v>333</v>
      </c>
      <c r="H25">
        <v>118</v>
      </c>
      <c r="I25">
        <v>40203991</v>
      </c>
      <c r="J25">
        <v>50</v>
      </c>
    </row>
    <row r="26" spans="1:10" x14ac:dyDescent="0.25">
      <c r="A26">
        <v>212</v>
      </c>
      <c r="B26" s="2" t="s">
        <v>324</v>
      </c>
      <c r="C26" s="2" t="s">
        <v>334</v>
      </c>
      <c r="D26">
        <v>2733</v>
      </c>
      <c r="E26" s="2" t="s">
        <v>112</v>
      </c>
      <c r="F26" s="2" t="s">
        <v>213</v>
      </c>
      <c r="G26" s="2" t="s">
        <v>335</v>
      </c>
      <c r="H26">
        <v>122</v>
      </c>
      <c r="I26">
        <v>10906873</v>
      </c>
      <c r="J26">
        <v>102</v>
      </c>
    </row>
    <row r="27" spans="1:10" x14ac:dyDescent="0.25">
      <c r="A27">
        <v>214</v>
      </c>
      <c r="B27" s="2" t="s">
        <v>321</v>
      </c>
      <c r="C27" s="2" t="s">
        <v>337</v>
      </c>
      <c r="D27">
        <v>7187</v>
      </c>
      <c r="E27" s="2" t="s">
        <v>116</v>
      </c>
      <c r="F27" s="2" t="s">
        <v>332</v>
      </c>
      <c r="G27" s="2" t="s">
        <v>333</v>
      </c>
      <c r="H27">
        <v>498</v>
      </c>
      <c r="I27">
        <v>21734730</v>
      </c>
      <c r="J27">
        <v>50</v>
      </c>
    </row>
    <row r="28" spans="1:10" x14ac:dyDescent="0.25">
      <c r="A28">
        <v>204</v>
      </c>
      <c r="B28" s="2" t="s">
        <v>322</v>
      </c>
      <c r="C28" s="2" t="s">
        <v>334</v>
      </c>
      <c r="D28">
        <v>9037</v>
      </c>
      <c r="E28" s="2" t="s">
        <v>112</v>
      </c>
      <c r="F28" s="2" t="s">
        <v>213</v>
      </c>
      <c r="G28" s="2" t="s">
        <v>339</v>
      </c>
      <c r="H28">
        <v>162</v>
      </c>
      <c r="I28">
        <v>16527672</v>
      </c>
      <c r="J28">
        <v>50</v>
      </c>
    </row>
    <row r="29" spans="1:10" x14ac:dyDescent="0.25">
      <c r="A29">
        <v>214</v>
      </c>
      <c r="B29" s="2" t="s">
        <v>324</v>
      </c>
      <c r="C29" s="2" t="s">
        <v>341</v>
      </c>
      <c r="D29">
        <v>1545</v>
      </c>
      <c r="E29" s="2" t="s">
        <v>112</v>
      </c>
      <c r="F29" s="2" t="s">
        <v>213</v>
      </c>
      <c r="G29" s="2" t="s">
        <v>335</v>
      </c>
      <c r="H29">
        <v>48</v>
      </c>
      <c r="I29">
        <v>11022956</v>
      </c>
      <c r="J29">
        <v>107</v>
      </c>
    </row>
    <row r="30" spans="1:10" x14ac:dyDescent="0.25">
      <c r="A30">
        <v>212</v>
      </c>
      <c r="B30" s="2" t="s">
        <v>323</v>
      </c>
      <c r="C30" s="2" t="s">
        <v>331</v>
      </c>
      <c r="D30">
        <v>2066</v>
      </c>
      <c r="E30" s="2" t="s">
        <v>112</v>
      </c>
      <c r="F30" s="2" t="s">
        <v>213</v>
      </c>
      <c r="G30" s="2" t="s">
        <v>333</v>
      </c>
      <c r="H30">
        <v>85</v>
      </c>
      <c r="I30">
        <v>47094916</v>
      </c>
      <c r="J30">
        <v>100</v>
      </c>
    </row>
    <row r="31" spans="1:10" x14ac:dyDescent="0.25">
      <c r="A31">
        <v>209</v>
      </c>
      <c r="B31" s="2" t="s">
        <v>322</v>
      </c>
      <c r="C31" s="2" t="s">
        <v>341</v>
      </c>
      <c r="D31">
        <v>9706</v>
      </c>
      <c r="E31" s="2" t="s">
        <v>116</v>
      </c>
      <c r="F31" s="2" t="s">
        <v>332</v>
      </c>
      <c r="G31" s="2" t="s">
        <v>333</v>
      </c>
      <c r="H31">
        <v>156</v>
      </c>
      <c r="I31">
        <v>18940168</v>
      </c>
      <c r="J31">
        <v>5</v>
      </c>
    </row>
    <row r="32" spans="1:10" x14ac:dyDescent="0.25">
      <c r="A32">
        <v>207</v>
      </c>
      <c r="B32" s="2" t="s">
        <v>324</v>
      </c>
      <c r="C32" s="2" t="s">
        <v>341</v>
      </c>
      <c r="D32">
        <v>5702</v>
      </c>
      <c r="E32" s="2" t="s">
        <v>112</v>
      </c>
      <c r="F32" s="2" t="s">
        <v>332</v>
      </c>
      <c r="G32" s="2" t="s">
        <v>342</v>
      </c>
      <c r="H32">
        <v>112</v>
      </c>
      <c r="I32">
        <v>30000000</v>
      </c>
      <c r="J32">
        <v>102</v>
      </c>
    </row>
    <row r="33" spans="1:10" x14ac:dyDescent="0.25">
      <c r="A33">
        <v>206</v>
      </c>
      <c r="B33" s="2" t="s">
        <v>321</v>
      </c>
      <c r="C33" s="2" t="s">
        <v>337</v>
      </c>
      <c r="D33">
        <v>3907</v>
      </c>
      <c r="E33" s="2" t="s">
        <v>112</v>
      </c>
      <c r="F33" s="2" t="s">
        <v>332</v>
      </c>
      <c r="G33" s="2" t="s">
        <v>342</v>
      </c>
      <c r="H33">
        <v>354</v>
      </c>
      <c r="I33">
        <v>19505687</v>
      </c>
      <c r="J33">
        <v>50</v>
      </c>
    </row>
    <row r="34" spans="1:10" x14ac:dyDescent="0.25">
      <c r="A34">
        <v>211</v>
      </c>
      <c r="B34" s="2" t="s">
        <v>323</v>
      </c>
      <c r="C34" s="2" t="s">
        <v>331</v>
      </c>
      <c r="D34">
        <v>7765</v>
      </c>
      <c r="E34" s="2" t="s">
        <v>112</v>
      </c>
      <c r="F34" s="2" t="s">
        <v>338</v>
      </c>
      <c r="G34" s="2" t="s">
        <v>335</v>
      </c>
      <c r="H34">
        <v>501</v>
      </c>
      <c r="I34">
        <v>30000000</v>
      </c>
      <c r="J34">
        <v>72</v>
      </c>
    </row>
    <row r="35" spans="1:10" x14ac:dyDescent="0.25">
      <c r="A35">
        <v>200</v>
      </c>
      <c r="B35" s="2" t="s">
        <v>321</v>
      </c>
      <c r="C35" s="2" t="s">
        <v>331</v>
      </c>
      <c r="D35">
        <v>2375</v>
      </c>
      <c r="E35" s="2" t="s">
        <v>112</v>
      </c>
      <c r="F35" s="2" t="s">
        <v>332</v>
      </c>
      <c r="G35" s="2" t="s">
        <v>342</v>
      </c>
      <c r="H35">
        <v>271</v>
      </c>
      <c r="I35">
        <v>30000000</v>
      </c>
      <c r="J35">
        <v>64</v>
      </c>
    </row>
    <row r="36" spans="1:10" x14ac:dyDescent="0.25">
      <c r="A36">
        <v>206</v>
      </c>
      <c r="B36" s="2" t="s">
        <v>324</v>
      </c>
      <c r="C36" s="2" t="s">
        <v>334</v>
      </c>
      <c r="D36">
        <v>5657</v>
      </c>
      <c r="E36" s="2" t="s">
        <v>112</v>
      </c>
      <c r="F36" s="2" t="s">
        <v>332</v>
      </c>
      <c r="G36" s="2" t="s">
        <v>333</v>
      </c>
      <c r="H36">
        <v>168</v>
      </c>
      <c r="I36">
        <v>19243847</v>
      </c>
      <c r="J36">
        <v>102</v>
      </c>
    </row>
    <row r="37" spans="1:10" x14ac:dyDescent="0.25">
      <c r="A37">
        <v>204</v>
      </c>
      <c r="B37" s="2" t="s">
        <v>321</v>
      </c>
      <c r="C37" s="2" t="s">
        <v>337</v>
      </c>
      <c r="D37">
        <v>5816</v>
      </c>
      <c r="E37" s="2" t="s">
        <v>116</v>
      </c>
      <c r="F37" s="2" t="s">
        <v>213</v>
      </c>
      <c r="G37" s="2" t="s">
        <v>335</v>
      </c>
      <c r="H37">
        <v>418</v>
      </c>
      <c r="I37">
        <v>13953034</v>
      </c>
      <c r="J37">
        <v>150</v>
      </c>
    </row>
    <row r="38" spans="1:10" x14ac:dyDescent="0.25">
      <c r="A38">
        <v>203</v>
      </c>
      <c r="B38" s="2" t="s">
        <v>324</v>
      </c>
      <c r="C38" s="2" t="s">
        <v>331</v>
      </c>
      <c r="D38">
        <v>7704</v>
      </c>
      <c r="E38" s="2" t="s">
        <v>112</v>
      </c>
      <c r="F38" s="2" t="s">
        <v>332</v>
      </c>
      <c r="G38" s="2" t="s">
        <v>342</v>
      </c>
      <c r="H38">
        <v>750</v>
      </c>
      <c r="I38">
        <v>30000000</v>
      </c>
      <c r="J38">
        <v>100</v>
      </c>
    </row>
    <row r="39" spans="1:10" x14ac:dyDescent="0.25">
      <c r="A39">
        <v>212</v>
      </c>
      <c r="B39" s="2" t="s">
        <v>322</v>
      </c>
      <c r="C39" s="2" t="s">
        <v>337</v>
      </c>
      <c r="D39">
        <v>2544</v>
      </c>
      <c r="E39" s="2" t="s">
        <v>116</v>
      </c>
      <c r="F39" s="2" t="s">
        <v>213</v>
      </c>
      <c r="G39" s="2" t="s">
        <v>339</v>
      </c>
      <c r="H39">
        <v>45</v>
      </c>
      <c r="I39">
        <v>29532457</v>
      </c>
      <c r="J39">
        <v>100</v>
      </c>
    </row>
    <row r="40" spans="1:10" x14ac:dyDescent="0.25">
      <c r="A40">
        <v>205</v>
      </c>
      <c r="B40" s="2" t="s">
        <v>321</v>
      </c>
      <c r="C40" s="2" t="s">
        <v>331</v>
      </c>
      <c r="D40">
        <v>5710</v>
      </c>
      <c r="E40" s="2" t="s">
        <v>116</v>
      </c>
      <c r="F40" s="2" t="s">
        <v>332</v>
      </c>
      <c r="G40" s="2" t="s">
        <v>343</v>
      </c>
      <c r="H40">
        <v>522</v>
      </c>
      <c r="I40">
        <v>19505687</v>
      </c>
      <c r="J40">
        <v>10</v>
      </c>
    </row>
    <row r="41" spans="1:10" x14ac:dyDescent="0.25">
      <c r="A41">
        <v>204</v>
      </c>
      <c r="B41" s="2" t="s">
        <v>321</v>
      </c>
      <c r="C41" s="2" t="s">
        <v>336</v>
      </c>
      <c r="D41">
        <v>7737</v>
      </c>
      <c r="E41" s="2" t="s">
        <v>112</v>
      </c>
      <c r="F41" s="2" t="s">
        <v>332</v>
      </c>
      <c r="G41" s="2" t="s">
        <v>333</v>
      </c>
      <c r="H41">
        <v>982</v>
      </c>
      <c r="I41">
        <v>11542973</v>
      </c>
      <c r="J41">
        <v>100</v>
      </c>
    </row>
    <row r="42" spans="1:10" x14ac:dyDescent="0.25">
      <c r="A42">
        <v>208</v>
      </c>
      <c r="B42" s="2" t="s">
        <v>322</v>
      </c>
      <c r="C42" s="2" t="s">
        <v>331</v>
      </c>
      <c r="D42">
        <v>5406</v>
      </c>
      <c r="E42" s="2" t="s">
        <v>112</v>
      </c>
      <c r="F42" s="2" t="s">
        <v>332</v>
      </c>
      <c r="G42" s="2" t="s">
        <v>342</v>
      </c>
      <c r="H42">
        <v>26</v>
      </c>
      <c r="I42">
        <v>26144727</v>
      </c>
      <c r="J42">
        <v>50</v>
      </c>
    </row>
    <row r="43" spans="1:10" x14ac:dyDescent="0.25">
      <c r="A43">
        <v>212</v>
      </c>
      <c r="B43" s="2" t="s">
        <v>322</v>
      </c>
      <c r="C43" s="2" t="s">
        <v>341</v>
      </c>
      <c r="D43">
        <v>3967</v>
      </c>
      <c r="E43" s="2" t="s">
        <v>112</v>
      </c>
      <c r="F43" s="2" t="s">
        <v>213</v>
      </c>
      <c r="G43" s="2" t="s">
        <v>343</v>
      </c>
      <c r="H43">
        <v>318</v>
      </c>
      <c r="I43">
        <v>19469496</v>
      </c>
      <c r="J43">
        <v>100</v>
      </c>
    </row>
    <row r="44" spans="1:10" x14ac:dyDescent="0.25">
      <c r="A44">
        <v>214</v>
      </c>
      <c r="B44" s="2" t="s">
        <v>324</v>
      </c>
      <c r="C44" s="2" t="s">
        <v>334</v>
      </c>
      <c r="D44">
        <v>1965</v>
      </c>
      <c r="E44" s="2" t="s">
        <v>112</v>
      </c>
      <c r="F44" s="2" t="s">
        <v>213</v>
      </c>
      <c r="G44" s="2" t="s">
        <v>340</v>
      </c>
      <c r="H44">
        <v>5</v>
      </c>
      <c r="I44">
        <v>30000000</v>
      </c>
      <c r="J44">
        <v>100</v>
      </c>
    </row>
    <row r="45" spans="1:10" x14ac:dyDescent="0.25">
      <c r="A45">
        <v>210</v>
      </c>
      <c r="B45" s="2" t="s">
        <v>324</v>
      </c>
      <c r="C45" s="2" t="s">
        <v>334</v>
      </c>
      <c r="D45">
        <v>3357</v>
      </c>
      <c r="E45" s="2" t="s">
        <v>112</v>
      </c>
      <c r="F45" s="2" t="s">
        <v>332</v>
      </c>
      <c r="G45" s="2" t="s">
        <v>343</v>
      </c>
      <c r="H45">
        <v>620</v>
      </c>
      <c r="I45">
        <v>25779106</v>
      </c>
      <c r="J45">
        <v>100</v>
      </c>
    </row>
    <row r="46" spans="1:10" x14ac:dyDescent="0.25">
      <c r="A46">
        <v>211</v>
      </c>
      <c r="B46" s="2" t="s">
        <v>321</v>
      </c>
      <c r="C46" s="2" t="s">
        <v>337</v>
      </c>
      <c r="D46">
        <v>8662</v>
      </c>
      <c r="E46" s="2" t="s">
        <v>116</v>
      </c>
      <c r="F46" s="2" t="s">
        <v>332</v>
      </c>
      <c r="G46" s="2" t="s">
        <v>343</v>
      </c>
      <c r="H46">
        <v>8</v>
      </c>
      <c r="I46">
        <v>4010932</v>
      </c>
      <c r="J46">
        <v>64</v>
      </c>
    </row>
    <row r="47" spans="1:10" x14ac:dyDescent="0.25">
      <c r="A47">
        <v>201</v>
      </c>
      <c r="B47" s="2" t="s">
        <v>322</v>
      </c>
      <c r="C47" s="2" t="s">
        <v>336</v>
      </c>
      <c r="D47">
        <v>4361</v>
      </c>
      <c r="E47" s="2" t="s">
        <v>116</v>
      </c>
      <c r="F47" s="2" t="s">
        <v>332</v>
      </c>
      <c r="G47" s="2" t="s">
        <v>333</v>
      </c>
      <c r="H47">
        <v>20</v>
      </c>
      <c r="I47">
        <v>26144727</v>
      </c>
      <c r="J47">
        <v>74</v>
      </c>
    </row>
    <row r="48" spans="1:10" x14ac:dyDescent="0.25">
      <c r="A48">
        <v>209</v>
      </c>
      <c r="B48" s="2" t="s">
        <v>322</v>
      </c>
      <c r="C48" s="2" t="s">
        <v>336</v>
      </c>
      <c r="D48">
        <v>8748</v>
      </c>
      <c r="E48" s="2" t="s">
        <v>116</v>
      </c>
      <c r="F48" s="2" t="s">
        <v>332</v>
      </c>
      <c r="G48" s="2" t="s">
        <v>340</v>
      </c>
      <c r="H48">
        <v>168</v>
      </c>
      <c r="I48">
        <v>38295845</v>
      </c>
      <c r="J48">
        <v>25</v>
      </c>
    </row>
    <row r="49" spans="1:10" x14ac:dyDescent="0.25">
      <c r="A49">
        <v>202</v>
      </c>
      <c r="B49" s="2" t="s">
        <v>322</v>
      </c>
      <c r="C49" s="2" t="s">
        <v>331</v>
      </c>
      <c r="D49">
        <v>5444</v>
      </c>
      <c r="E49" s="2" t="s">
        <v>112</v>
      </c>
      <c r="F49" s="2" t="s">
        <v>213</v>
      </c>
      <c r="G49" s="2" t="s">
        <v>340</v>
      </c>
      <c r="H49">
        <v>614</v>
      </c>
      <c r="I49">
        <v>36184408</v>
      </c>
      <c r="J49">
        <v>6</v>
      </c>
    </row>
    <row r="50" spans="1:10" x14ac:dyDescent="0.25">
      <c r="A50">
        <v>215</v>
      </c>
      <c r="B50" s="2" t="s">
        <v>321</v>
      </c>
      <c r="C50" s="2" t="s">
        <v>336</v>
      </c>
      <c r="D50">
        <v>4652</v>
      </c>
      <c r="E50" s="2" t="s">
        <v>112</v>
      </c>
      <c r="F50" s="2" t="s">
        <v>213</v>
      </c>
      <c r="G50" s="2" t="s">
        <v>340</v>
      </c>
      <c r="H50">
        <v>11</v>
      </c>
      <c r="I50">
        <v>9497128</v>
      </c>
      <c r="J50">
        <v>100</v>
      </c>
    </row>
    <row r="51" spans="1:10" x14ac:dyDescent="0.25">
      <c r="A51">
        <v>202</v>
      </c>
      <c r="B51" s="2" t="s">
        <v>323</v>
      </c>
      <c r="C51" s="2" t="s">
        <v>336</v>
      </c>
      <c r="D51">
        <v>9621</v>
      </c>
      <c r="E51" s="2" t="s">
        <v>116</v>
      </c>
      <c r="F51" s="2" t="s">
        <v>338</v>
      </c>
      <c r="G51" s="2" t="s">
        <v>342</v>
      </c>
      <c r="H51">
        <v>32</v>
      </c>
      <c r="I51">
        <v>40926474</v>
      </c>
      <c r="J51">
        <v>100</v>
      </c>
    </row>
    <row r="52" spans="1:10" x14ac:dyDescent="0.25">
      <c r="A52">
        <v>205</v>
      </c>
      <c r="B52" s="2" t="s">
        <v>325</v>
      </c>
      <c r="C52" s="2" t="s">
        <v>341</v>
      </c>
      <c r="D52">
        <v>6659</v>
      </c>
      <c r="E52" s="2" t="s">
        <v>116</v>
      </c>
      <c r="F52" s="2" t="s">
        <v>213</v>
      </c>
      <c r="G52" s="2" t="s">
        <v>342</v>
      </c>
      <c r="H52">
        <v>197</v>
      </c>
      <c r="I52">
        <v>43158562</v>
      </c>
      <c r="J52">
        <v>79</v>
      </c>
    </row>
    <row r="53" spans="1:10" x14ac:dyDescent="0.25">
      <c r="A53">
        <v>205</v>
      </c>
      <c r="B53" s="2" t="s">
        <v>324</v>
      </c>
      <c r="C53" s="2" t="s">
        <v>337</v>
      </c>
      <c r="D53">
        <v>6900</v>
      </c>
      <c r="E53" s="2" t="s">
        <v>112</v>
      </c>
      <c r="F53" s="2" t="s">
        <v>213</v>
      </c>
      <c r="G53" s="2" t="s">
        <v>335</v>
      </c>
      <c r="H53">
        <v>416</v>
      </c>
      <c r="I53">
        <v>30000000</v>
      </c>
      <c r="J53">
        <v>102</v>
      </c>
    </row>
    <row r="54" spans="1:10" x14ac:dyDescent="0.25">
      <c r="A54">
        <v>213</v>
      </c>
      <c r="B54" s="2" t="s">
        <v>321</v>
      </c>
      <c r="C54" s="2" t="s">
        <v>334</v>
      </c>
      <c r="D54">
        <v>2457</v>
      </c>
      <c r="E54" s="2" t="s">
        <v>116</v>
      </c>
      <c r="F54" s="2" t="s">
        <v>332</v>
      </c>
      <c r="G54" s="2" t="s">
        <v>343</v>
      </c>
      <c r="H54">
        <v>134</v>
      </c>
      <c r="I54">
        <v>19505687</v>
      </c>
      <c r="J54">
        <v>1</v>
      </c>
    </row>
    <row r="55" spans="1:10" x14ac:dyDescent="0.25">
      <c r="A55">
        <v>214</v>
      </c>
      <c r="B55" s="2" t="s">
        <v>322</v>
      </c>
      <c r="C55" s="2" t="s">
        <v>331</v>
      </c>
      <c r="D55">
        <v>8394</v>
      </c>
      <c r="E55" s="2" t="s">
        <v>116</v>
      </c>
      <c r="F55" s="2" t="s">
        <v>213</v>
      </c>
      <c r="G55" s="2" t="s">
        <v>340</v>
      </c>
      <c r="H55">
        <v>30</v>
      </c>
      <c r="I55">
        <v>36831445</v>
      </c>
      <c r="J55">
        <v>100</v>
      </c>
    </row>
    <row r="56" spans="1:10" x14ac:dyDescent="0.25">
      <c r="A56">
        <v>204</v>
      </c>
      <c r="B56" s="2" t="s">
        <v>325</v>
      </c>
      <c r="C56" s="2" t="s">
        <v>334</v>
      </c>
      <c r="D56">
        <v>4582</v>
      </c>
      <c r="E56" s="2" t="s">
        <v>116</v>
      </c>
      <c r="F56" s="2" t="s">
        <v>213</v>
      </c>
      <c r="G56" s="2" t="s">
        <v>339</v>
      </c>
      <c r="H56">
        <v>122</v>
      </c>
      <c r="I56">
        <v>30912481</v>
      </c>
      <c r="J56">
        <v>135</v>
      </c>
    </row>
    <row r="57" spans="1:10" x14ac:dyDescent="0.25">
      <c r="A57">
        <v>203</v>
      </c>
      <c r="B57" s="2" t="s">
        <v>322</v>
      </c>
      <c r="C57" s="2" t="s">
        <v>336</v>
      </c>
      <c r="D57">
        <v>7421</v>
      </c>
      <c r="E57" s="2" t="s">
        <v>116</v>
      </c>
      <c r="F57" s="2" t="s">
        <v>332</v>
      </c>
      <c r="G57" s="2" t="s">
        <v>343</v>
      </c>
      <c r="H57">
        <v>38</v>
      </c>
      <c r="I57">
        <v>39760465</v>
      </c>
      <c r="J57">
        <v>1</v>
      </c>
    </row>
    <row r="58" spans="1:10" x14ac:dyDescent="0.25">
      <c r="A58">
        <v>205</v>
      </c>
      <c r="B58" s="2" t="s">
        <v>322</v>
      </c>
      <c r="C58" s="2" t="s">
        <v>334</v>
      </c>
      <c r="D58">
        <v>1442</v>
      </c>
      <c r="E58" s="2" t="s">
        <v>112</v>
      </c>
      <c r="F58" s="2" t="s">
        <v>332</v>
      </c>
      <c r="G58" s="2" t="s">
        <v>342</v>
      </c>
      <c r="H58">
        <v>500</v>
      </c>
      <c r="I58">
        <v>26144727</v>
      </c>
      <c r="J58">
        <v>100</v>
      </c>
    </row>
    <row r="59" spans="1:10" x14ac:dyDescent="0.25">
      <c r="A59">
        <v>213</v>
      </c>
      <c r="B59" s="2" t="s">
        <v>322</v>
      </c>
      <c r="C59" s="2" t="s">
        <v>337</v>
      </c>
      <c r="D59">
        <v>7391</v>
      </c>
      <c r="E59" s="2" t="s">
        <v>112</v>
      </c>
      <c r="F59" s="2" t="s">
        <v>213</v>
      </c>
      <c r="G59" s="2" t="s">
        <v>343</v>
      </c>
      <c r="H59">
        <v>419</v>
      </c>
      <c r="I59">
        <v>26144727</v>
      </c>
      <c r="J59">
        <v>105</v>
      </c>
    </row>
    <row r="60" spans="1:10" x14ac:dyDescent="0.25">
      <c r="A60">
        <v>211</v>
      </c>
      <c r="B60" s="2" t="s">
        <v>324</v>
      </c>
      <c r="C60" s="2" t="s">
        <v>341</v>
      </c>
      <c r="D60">
        <v>3243</v>
      </c>
      <c r="E60" s="2" t="s">
        <v>112</v>
      </c>
      <c r="F60" s="2" t="s">
        <v>332</v>
      </c>
      <c r="G60" s="2" t="s">
        <v>343</v>
      </c>
      <c r="H60">
        <v>344</v>
      </c>
      <c r="I60">
        <v>17413596</v>
      </c>
      <c r="J60">
        <v>100</v>
      </c>
    </row>
    <row r="61" spans="1:10" x14ac:dyDescent="0.25">
      <c r="A61">
        <v>215</v>
      </c>
      <c r="B61" s="2" t="s">
        <v>321</v>
      </c>
      <c r="C61" s="2" t="s">
        <v>331</v>
      </c>
      <c r="D61">
        <v>1795</v>
      </c>
      <c r="E61" s="2" t="s">
        <v>112</v>
      </c>
      <c r="F61" s="2" t="s">
        <v>332</v>
      </c>
      <c r="G61" s="2" t="s">
        <v>342</v>
      </c>
      <c r="H61">
        <v>39</v>
      </c>
      <c r="I61">
        <v>30000000</v>
      </c>
      <c r="J61">
        <v>100</v>
      </c>
    </row>
    <row r="62" spans="1:10" x14ac:dyDescent="0.25">
      <c r="A62">
        <v>203</v>
      </c>
      <c r="B62" s="2" t="s">
        <v>324</v>
      </c>
      <c r="C62" s="2" t="s">
        <v>341</v>
      </c>
      <c r="D62">
        <v>2589</v>
      </c>
      <c r="E62" s="2" t="s">
        <v>112</v>
      </c>
      <c r="F62" s="2" t="s">
        <v>332</v>
      </c>
      <c r="G62" s="2" t="s">
        <v>340</v>
      </c>
      <c r="H62">
        <v>179</v>
      </c>
      <c r="I62">
        <v>34869579</v>
      </c>
      <c r="J62">
        <v>196</v>
      </c>
    </row>
    <row r="63" spans="1:10" x14ac:dyDescent="0.25">
      <c r="A63">
        <v>201</v>
      </c>
      <c r="B63" s="2" t="s">
        <v>322</v>
      </c>
      <c r="C63" s="2" t="s">
        <v>334</v>
      </c>
      <c r="D63">
        <v>6595</v>
      </c>
      <c r="E63" s="2" t="s">
        <v>116</v>
      </c>
      <c r="F63" s="2" t="s">
        <v>338</v>
      </c>
      <c r="G63" s="2" t="s">
        <v>343</v>
      </c>
      <c r="H63">
        <v>505</v>
      </c>
      <c r="I63">
        <v>9032452</v>
      </c>
      <c r="J63">
        <v>53</v>
      </c>
    </row>
    <row r="64" spans="1:10" x14ac:dyDescent="0.25">
      <c r="A64">
        <v>208</v>
      </c>
      <c r="B64" s="2" t="s">
        <v>322</v>
      </c>
      <c r="C64" s="2" t="s">
        <v>336</v>
      </c>
      <c r="D64">
        <v>8418</v>
      </c>
      <c r="E64" s="2" t="s">
        <v>116</v>
      </c>
      <c r="F64" s="2" t="s">
        <v>332</v>
      </c>
      <c r="G64" s="2" t="s">
        <v>335</v>
      </c>
      <c r="H64">
        <v>158</v>
      </c>
      <c r="I64">
        <v>30000000</v>
      </c>
      <c r="J64">
        <v>8</v>
      </c>
    </row>
    <row r="65" spans="1:10" x14ac:dyDescent="0.25">
      <c r="A65">
        <v>200</v>
      </c>
      <c r="B65" s="2" t="s">
        <v>324</v>
      </c>
      <c r="C65" s="2" t="s">
        <v>337</v>
      </c>
      <c r="D65">
        <v>1013</v>
      </c>
      <c r="E65" s="2" t="s">
        <v>112</v>
      </c>
      <c r="F65" s="2" t="s">
        <v>213</v>
      </c>
      <c r="G65" s="2" t="s">
        <v>335</v>
      </c>
      <c r="H65">
        <v>675</v>
      </c>
      <c r="I65">
        <v>24634578</v>
      </c>
      <c r="J65">
        <v>100</v>
      </c>
    </row>
    <row r="66" spans="1:10" x14ac:dyDescent="0.25">
      <c r="A66">
        <v>212</v>
      </c>
      <c r="B66" s="2" t="s">
        <v>322</v>
      </c>
      <c r="C66" s="2" t="s">
        <v>331</v>
      </c>
      <c r="D66">
        <v>3158</v>
      </c>
      <c r="E66" s="2" t="s">
        <v>116</v>
      </c>
      <c r="F66" s="2" t="s">
        <v>332</v>
      </c>
      <c r="G66" s="2" t="s">
        <v>342</v>
      </c>
      <c r="H66">
        <v>720</v>
      </c>
      <c r="I66">
        <v>23422412</v>
      </c>
      <c r="J66">
        <v>53</v>
      </c>
    </row>
    <row r="67" spans="1:10" x14ac:dyDescent="0.25">
      <c r="A67">
        <v>212</v>
      </c>
      <c r="B67" s="2" t="s">
        <v>322</v>
      </c>
      <c r="C67" s="2" t="s">
        <v>341</v>
      </c>
      <c r="D67">
        <v>9165</v>
      </c>
      <c r="E67" s="2" t="s">
        <v>112</v>
      </c>
      <c r="F67" s="2" t="s">
        <v>332</v>
      </c>
      <c r="G67" s="2" t="s">
        <v>339</v>
      </c>
      <c r="H67">
        <v>40</v>
      </c>
      <c r="I67">
        <v>27357339</v>
      </c>
      <c r="J67">
        <v>100</v>
      </c>
    </row>
    <row r="68" spans="1:10" x14ac:dyDescent="0.25">
      <c r="A68">
        <v>203</v>
      </c>
      <c r="B68" s="2" t="s">
        <v>325</v>
      </c>
      <c r="C68" s="2" t="s">
        <v>337</v>
      </c>
      <c r="D68">
        <v>7293</v>
      </c>
      <c r="E68" s="2" t="s">
        <v>116</v>
      </c>
      <c r="F68" s="2" t="s">
        <v>332</v>
      </c>
      <c r="G68" s="2" t="s">
        <v>339</v>
      </c>
      <c r="H68">
        <v>12</v>
      </c>
      <c r="I68">
        <v>30912481</v>
      </c>
      <c r="J68">
        <v>79</v>
      </c>
    </row>
    <row r="69" spans="1:10" x14ac:dyDescent="0.25">
      <c r="A69">
        <v>213</v>
      </c>
      <c r="B69" s="2" t="s">
        <v>325</v>
      </c>
      <c r="C69" s="2" t="s">
        <v>334</v>
      </c>
      <c r="D69">
        <v>5656</v>
      </c>
      <c r="E69" s="2" t="s">
        <v>116</v>
      </c>
      <c r="F69" s="2" t="s">
        <v>332</v>
      </c>
      <c r="G69" s="2" t="s">
        <v>335</v>
      </c>
      <c r="H69">
        <v>220</v>
      </c>
      <c r="I69">
        <v>30912481</v>
      </c>
      <c r="J69">
        <v>79</v>
      </c>
    </row>
    <row r="70" spans="1:10" x14ac:dyDescent="0.25">
      <c r="A70">
        <v>206</v>
      </c>
      <c r="B70" s="2" t="s">
        <v>322</v>
      </c>
      <c r="C70" s="2" t="s">
        <v>334</v>
      </c>
      <c r="D70">
        <v>2889</v>
      </c>
      <c r="E70" s="2" t="s">
        <v>112</v>
      </c>
      <c r="F70" s="2" t="s">
        <v>332</v>
      </c>
      <c r="G70" s="2" t="s">
        <v>339</v>
      </c>
      <c r="H70">
        <v>21</v>
      </c>
      <c r="I70">
        <v>26144727</v>
      </c>
      <c r="J70">
        <v>3</v>
      </c>
    </row>
    <row r="71" spans="1:10" x14ac:dyDescent="0.25">
      <c r="A71">
        <v>208</v>
      </c>
      <c r="B71" s="2" t="s">
        <v>322</v>
      </c>
      <c r="C71" s="2" t="s">
        <v>336</v>
      </c>
      <c r="D71">
        <v>3127</v>
      </c>
      <c r="E71" s="2" t="s">
        <v>116</v>
      </c>
      <c r="F71" s="2" t="s">
        <v>213</v>
      </c>
      <c r="G71" s="2" t="s">
        <v>342</v>
      </c>
      <c r="H71">
        <v>468</v>
      </c>
      <c r="I71">
        <v>29339203</v>
      </c>
      <c r="J71">
        <v>3</v>
      </c>
    </row>
    <row r="72" spans="1:10" x14ac:dyDescent="0.25">
      <c r="A72">
        <v>215</v>
      </c>
      <c r="B72" s="2" t="s">
        <v>323</v>
      </c>
      <c r="C72" s="2" t="s">
        <v>331</v>
      </c>
      <c r="D72">
        <v>9525</v>
      </c>
      <c r="E72" s="2" t="s">
        <v>116</v>
      </c>
      <c r="F72" s="2" t="s">
        <v>332</v>
      </c>
      <c r="G72" s="2" t="s">
        <v>342</v>
      </c>
      <c r="H72">
        <v>428</v>
      </c>
      <c r="I72">
        <v>30000000</v>
      </c>
      <c r="J72">
        <v>100</v>
      </c>
    </row>
    <row r="73" spans="1:10" x14ac:dyDescent="0.25">
      <c r="A73">
        <v>203</v>
      </c>
      <c r="B73" s="2" t="s">
        <v>322</v>
      </c>
      <c r="C73" s="2" t="s">
        <v>336</v>
      </c>
      <c r="D73">
        <v>4644</v>
      </c>
      <c r="E73" s="2" t="s">
        <v>116</v>
      </c>
      <c r="F73" s="2" t="s">
        <v>213</v>
      </c>
      <c r="G73" s="2" t="s">
        <v>335</v>
      </c>
      <c r="H73">
        <v>7</v>
      </c>
      <c r="I73">
        <v>39529521</v>
      </c>
      <c r="J73">
        <v>53</v>
      </c>
    </row>
    <row r="74" spans="1:10" x14ac:dyDescent="0.25">
      <c r="A74">
        <v>210</v>
      </c>
      <c r="B74" s="2" t="s">
        <v>323</v>
      </c>
      <c r="C74" s="2" t="s">
        <v>341</v>
      </c>
      <c r="D74">
        <v>6393</v>
      </c>
      <c r="E74" s="2" t="s">
        <v>116</v>
      </c>
      <c r="F74" s="2" t="s">
        <v>332</v>
      </c>
      <c r="G74" s="2" t="s">
        <v>333</v>
      </c>
      <c r="H74">
        <v>37</v>
      </c>
      <c r="I74">
        <v>13493776</v>
      </c>
      <c r="J74">
        <v>46</v>
      </c>
    </row>
    <row r="75" spans="1:10" x14ac:dyDescent="0.25">
      <c r="A75">
        <v>210</v>
      </c>
      <c r="B75" s="2" t="s">
        <v>325</v>
      </c>
      <c r="C75" s="2" t="s">
        <v>337</v>
      </c>
      <c r="D75">
        <v>6623</v>
      </c>
      <c r="E75" s="2" t="s">
        <v>116</v>
      </c>
      <c r="F75" s="2" t="s">
        <v>213</v>
      </c>
      <c r="G75" s="2" t="s">
        <v>342</v>
      </c>
      <c r="H75">
        <v>874</v>
      </c>
      <c r="I75">
        <v>30000000</v>
      </c>
      <c r="J75">
        <v>100</v>
      </c>
    </row>
    <row r="76" spans="1:10" x14ac:dyDescent="0.25">
      <c r="A76">
        <v>209</v>
      </c>
      <c r="B76" s="2" t="s">
        <v>322</v>
      </c>
      <c r="C76" s="2" t="s">
        <v>336</v>
      </c>
      <c r="D76">
        <v>3872</v>
      </c>
      <c r="E76" s="2" t="s">
        <v>116</v>
      </c>
      <c r="F76" s="2" t="s">
        <v>332</v>
      </c>
      <c r="G76" s="2" t="s">
        <v>333</v>
      </c>
      <c r="H76">
        <v>65</v>
      </c>
      <c r="I76">
        <v>30000000</v>
      </c>
      <c r="J76">
        <v>53</v>
      </c>
    </row>
    <row r="77" spans="1:10" x14ac:dyDescent="0.25">
      <c r="A77">
        <v>212</v>
      </c>
      <c r="B77" s="2" t="s">
        <v>321</v>
      </c>
      <c r="C77" s="2" t="s">
        <v>337</v>
      </c>
      <c r="D77">
        <v>5914</v>
      </c>
      <c r="E77" s="2" t="s">
        <v>116</v>
      </c>
      <c r="F77" s="2" t="s">
        <v>332</v>
      </c>
      <c r="G77" s="2" t="s">
        <v>340</v>
      </c>
      <c r="H77">
        <v>124</v>
      </c>
      <c r="I77">
        <v>1898632</v>
      </c>
      <c r="J77">
        <v>50</v>
      </c>
    </row>
    <row r="78" spans="1:10" x14ac:dyDescent="0.25">
      <c r="A78">
        <v>205</v>
      </c>
      <c r="B78" s="2" t="s">
        <v>324</v>
      </c>
      <c r="C78" s="2" t="s">
        <v>341</v>
      </c>
      <c r="D78">
        <v>3120</v>
      </c>
      <c r="E78" s="2" t="s">
        <v>112</v>
      </c>
      <c r="F78" s="2" t="s">
        <v>213</v>
      </c>
      <c r="G78" s="2" t="s">
        <v>339</v>
      </c>
      <c r="H78">
        <v>918</v>
      </c>
      <c r="I78">
        <v>2593362</v>
      </c>
      <c r="J78">
        <v>102</v>
      </c>
    </row>
    <row r="79" spans="1:10" x14ac:dyDescent="0.25">
      <c r="A79">
        <v>204</v>
      </c>
      <c r="B79" s="2" t="s">
        <v>322</v>
      </c>
      <c r="C79" s="2" t="s">
        <v>336</v>
      </c>
      <c r="D79">
        <v>8115</v>
      </c>
      <c r="E79" s="2" t="s">
        <v>112</v>
      </c>
      <c r="F79" s="2" t="s">
        <v>338</v>
      </c>
      <c r="G79" s="2" t="s">
        <v>343</v>
      </c>
      <c r="H79">
        <v>16</v>
      </c>
      <c r="I79">
        <v>35268369</v>
      </c>
      <c r="J79">
        <v>100</v>
      </c>
    </row>
    <row r="80" spans="1:10" x14ac:dyDescent="0.25">
      <c r="A80">
        <v>212</v>
      </c>
      <c r="B80" s="2" t="s">
        <v>322</v>
      </c>
      <c r="C80" s="2" t="s">
        <v>341</v>
      </c>
      <c r="D80">
        <v>4412</v>
      </c>
      <c r="E80" s="2" t="s">
        <v>112</v>
      </c>
      <c r="F80" s="2" t="s">
        <v>213</v>
      </c>
      <c r="G80" s="2" t="s">
        <v>333</v>
      </c>
      <c r="H80">
        <v>170</v>
      </c>
      <c r="I80">
        <v>7279940</v>
      </c>
      <c r="J80">
        <v>93</v>
      </c>
    </row>
    <row r="81" spans="1:10" x14ac:dyDescent="0.25">
      <c r="A81">
        <v>210</v>
      </c>
      <c r="B81" s="2" t="s">
        <v>321</v>
      </c>
      <c r="C81" s="2" t="s">
        <v>341</v>
      </c>
      <c r="D81">
        <v>9251</v>
      </c>
      <c r="E81" s="2" t="s">
        <v>112</v>
      </c>
      <c r="F81" s="2" t="s">
        <v>332</v>
      </c>
      <c r="G81" s="2" t="s">
        <v>342</v>
      </c>
      <c r="H81">
        <v>81</v>
      </c>
      <c r="I81">
        <v>30000000</v>
      </c>
      <c r="J81">
        <v>64</v>
      </c>
    </row>
    <row r="82" spans="1:10" x14ac:dyDescent="0.25">
      <c r="A82">
        <v>215</v>
      </c>
      <c r="B82" s="2" t="s">
        <v>323</v>
      </c>
      <c r="C82" s="2" t="s">
        <v>337</v>
      </c>
      <c r="D82">
        <v>2668</v>
      </c>
      <c r="E82" s="2" t="s">
        <v>112</v>
      </c>
      <c r="F82" s="2" t="s">
        <v>213</v>
      </c>
      <c r="G82" s="2" t="s">
        <v>335</v>
      </c>
      <c r="H82">
        <v>60</v>
      </c>
      <c r="I82">
        <v>33027163</v>
      </c>
      <c r="J82">
        <v>101</v>
      </c>
    </row>
    <row r="83" spans="1:10" x14ac:dyDescent="0.25">
      <c r="A83">
        <v>203</v>
      </c>
      <c r="B83" s="2" t="s">
        <v>325</v>
      </c>
      <c r="C83" s="2" t="s">
        <v>341</v>
      </c>
      <c r="D83">
        <v>4266</v>
      </c>
      <c r="E83" s="2" t="s">
        <v>112</v>
      </c>
      <c r="F83" s="2" t="s">
        <v>213</v>
      </c>
      <c r="G83" s="2" t="s">
        <v>342</v>
      </c>
      <c r="H83">
        <v>451</v>
      </c>
      <c r="I83">
        <v>30912481</v>
      </c>
      <c r="J83">
        <v>161</v>
      </c>
    </row>
    <row r="84" spans="1:10" x14ac:dyDescent="0.25">
      <c r="A84">
        <v>205</v>
      </c>
      <c r="B84" s="2" t="s">
        <v>325</v>
      </c>
      <c r="C84" s="2" t="s">
        <v>331</v>
      </c>
      <c r="D84">
        <v>9236</v>
      </c>
      <c r="E84" s="2" t="s">
        <v>112</v>
      </c>
      <c r="F84" s="2" t="s">
        <v>213</v>
      </c>
      <c r="G84" s="2" t="s">
        <v>333</v>
      </c>
      <c r="H84">
        <v>824</v>
      </c>
      <c r="I84">
        <v>30912481</v>
      </c>
      <c r="J84">
        <v>79</v>
      </c>
    </row>
    <row r="85" spans="1:10" x14ac:dyDescent="0.25">
      <c r="A85">
        <v>212</v>
      </c>
      <c r="B85" s="2" t="s">
        <v>325</v>
      </c>
      <c r="C85" s="2" t="s">
        <v>341</v>
      </c>
      <c r="D85">
        <v>1900</v>
      </c>
      <c r="E85" s="2" t="s">
        <v>112</v>
      </c>
      <c r="F85" s="2" t="s">
        <v>332</v>
      </c>
      <c r="G85" s="2" t="s">
        <v>340</v>
      </c>
      <c r="H85">
        <v>310</v>
      </c>
      <c r="I85">
        <v>30000000</v>
      </c>
      <c r="J85">
        <v>7</v>
      </c>
    </row>
    <row r="86" spans="1:10" x14ac:dyDescent="0.25">
      <c r="A86">
        <v>203</v>
      </c>
      <c r="B86" s="2" t="s">
        <v>322</v>
      </c>
      <c r="C86" s="2" t="s">
        <v>337</v>
      </c>
      <c r="D86">
        <v>4970</v>
      </c>
      <c r="E86" s="2" t="s">
        <v>116</v>
      </c>
      <c r="F86" s="2" t="s">
        <v>213</v>
      </c>
      <c r="G86" s="2" t="s">
        <v>335</v>
      </c>
      <c r="H86">
        <v>254</v>
      </c>
      <c r="I86">
        <v>30000000</v>
      </c>
      <c r="J86">
        <v>53</v>
      </c>
    </row>
    <row r="87" spans="1:10" x14ac:dyDescent="0.25">
      <c r="A87">
        <v>213</v>
      </c>
      <c r="B87" s="2" t="s">
        <v>322</v>
      </c>
      <c r="C87" s="2" t="s">
        <v>334</v>
      </c>
      <c r="D87">
        <v>8188</v>
      </c>
      <c r="E87" s="2" t="s">
        <v>112</v>
      </c>
      <c r="F87" s="2" t="s">
        <v>213</v>
      </c>
      <c r="G87" s="2" t="s">
        <v>342</v>
      </c>
      <c r="H87">
        <v>482</v>
      </c>
      <c r="I87">
        <v>19816266</v>
      </c>
      <c r="J87">
        <v>53</v>
      </c>
    </row>
    <row r="88" spans="1:10" x14ac:dyDescent="0.25">
      <c r="A88">
        <v>207</v>
      </c>
      <c r="B88" s="2" t="s">
        <v>325</v>
      </c>
      <c r="C88" s="2" t="s">
        <v>331</v>
      </c>
      <c r="D88">
        <v>9217</v>
      </c>
      <c r="E88" s="2" t="s">
        <v>116</v>
      </c>
      <c r="F88" s="2" t="s">
        <v>332</v>
      </c>
      <c r="G88" s="2" t="s">
        <v>333</v>
      </c>
      <c r="H88">
        <v>15</v>
      </c>
      <c r="I88">
        <v>15904113</v>
      </c>
      <c r="J88">
        <v>100</v>
      </c>
    </row>
    <row r="89" spans="1:10" x14ac:dyDescent="0.25">
      <c r="A89">
        <v>215</v>
      </c>
      <c r="B89" s="2" t="s">
        <v>322</v>
      </c>
      <c r="C89" s="2" t="s">
        <v>334</v>
      </c>
      <c r="D89">
        <v>2881</v>
      </c>
      <c r="E89" s="2" t="s">
        <v>116</v>
      </c>
      <c r="F89" s="2" t="s">
        <v>338</v>
      </c>
      <c r="G89" s="2" t="s">
        <v>335</v>
      </c>
      <c r="H89">
        <v>582</v>
      </c>
      <c r="I89">
        <v>30000000</v>
      </c>
      <c r="J89">
        <v>53</v>
      </c>
    </row>
    <row r="90" spans="1:10" x14ac:dyDescent="0.25">
      <c r="A90">
        <v>213</v>
      </c>
      <c r="B90" s="2" t="s">
        <v>325</v>
      </c>
      <c r="C90" s="2" t="s">
        <v>337</v>
      </c>
      <c r="D90">
        <v>5334</v>
      </c>
      <c r="E90" s="2" t="s">
        <v>116</v>
      </c>
      <c r="F90" s="2" t="s">
        <v>338</v>
      </c>
      <c r="G90" s="2" t="s">
        <v>335</v>
      </c>
      <c r="H90">
        <v>18</v>
      </c>
      <c r="I90">
        <v>30912481</v>
      </c>
      <c r="J90">
        <v>50</v>
      </c>
    </row>
    <row r="91" spans="1:10" x14ac:dyDescent="0.25">
      <c r="A91">
        <v>214</v>
      </c>
      <c r="B91" s="2" t="s">
        <v>322</v>
      </c>
      <c r="C91" s="2" t="s">
        <v>334</v>
      </c>
      <c r="D91">
        <v>5112</v>
      </c>
      <c r="E91" s="2" t="s">
        <v>112</v>
      </c>
      <c r="F91" s="2" t="s">
        <v>332</v>
      </c>
      <c r="G91" s="2" t="s">
        <v>333</v>
      </c>
      <c r="H91">
        <v>949</v>
      </c>
      <c r="I91">
        <v>14354550</v>
      </c>
      <c r="J91">
        <v>49</v>
      </c>
    </row>
    <row r="92" spans="1:10" x14ac:dyDescent="0.25">
      <c r="A92">
        <v>203</v>
      </c>
      <c r="B92" s="2" t="s">
        <v>321</v>
      </c>
      <c r="C92" s="2" t="s">
        <v>341</v>
      </c>
      <c r="D92">
        <v>8677</v>
      </c>
      <c r="E92" s="2" t="s">
        <v>112</v>
      </c>
      <c r="F92" s="2" t="s">
        <v>332</v>
      </c>
      <c r="G92" s="2" t="s">
        <v>339</v>
      </c>
      <c r="H92">
        <v>679</v>
      </c>
      <c r="I92">
        <v>19505687</v>
      </c>
      <c r="J92">
        <v>100</v>
      </c>
    </row>
    <row r="93" spans="1:10" x14ac:dyDescent="0.25">
      <c r="A93">
        <v>203</v>
      </c>
      <c r="B93" s="2" t="s">
        <v>325</v>
      </c>
      <c r="C93" s="2" t="s">
        <v>334</v>
      </c>
      <c r="D93">
        <v>4012</v>
      </c>
      <c r="E93" s="2" t="s">
        <v>116</v>
      </c>
      <c r="F93" s="2" t="s">
        <v>213</v>
      </c>
      <c r="G93" s="2" t="s">
        <v>339</v>
      </c>
      <c r="H93">
        <v>777</v>
      </c>
      <c r="I93">
        <v>30912481</v>
      </c>
      <c r="J93">
        <v>79</v>
      </c>
    </row>
    <row r="94" spans="1:10" x14ac:dyDescent="0.25">
      <c r="A94">
        <v>200</v>
      </c>
      <c r="B94" s="2" t="s">
        <v>322</v>
      </c>
      <c r="C94" s="2" t="s">
        <v>331</v>
      </c>
      <c r="D94">
        <v>7099</v>
      </c>
      <c r="E94" s="2" t="s">
        <v>112</v>
      </c>
      <c r="F94" s="2" t="s">
        <v>332</v>
      </c>
      <c r="G94" s="2" t="s">
        <v>340</v>
      </c>
      <c r="H94">
        <v>12</v>
      </c>
      <c r="I94">
        <v>37209471</v>
      </c>
      <c r="J94">
        <v>53</v>
      </c>
    </row>
    <row r="95" spans="1:10" x14ac:dyDescent="0.25">
      <c r="A95">
        <v>206</v>
      </c>
      <c r="B95" s="2" t="s">
        <v>323</v>
      </c>
      <c r="C95" s="2" t="s">
        <v>331</v>
      </c>
      <c r="D95">
        <v>4909</v>
      </c>
      <c r="E95" s="2" t="s">
        <v>116</v>
      </c>
      <c r="F95" s="2" t="s">
        <v>213</v>
      </c>
      <c r="G95" s="2" t="s">
        <v>340</v>
      </c>
      <c r="H95">
        <v>978</v>
      </c>
      <c r="I95">
        <v>31552353</v>
      </c>
      <c r="J95">
        <v>2</v>
      </c>
    </row>
    <row r="96" spans="1:10" x14ac:dyDescent="0.25">
      <c r="A96">
        <v>204</v>
      </c>
      <c r="B96" s="2" t="s">
        <v>321</v>
      </c>
      <c r="C96" s="2" t="s">
        <v>331</v>
      </c>
      <c r="D96">
        <v>5125</v>
      </c>
      <c r="E96" s="2" t="s">
        <v>116</v>
      </c>
      <c r="F96" s="2" t="s">
        <v>213</v>
      </c>
      <c r="G96" s="2" t="s">
        <v>342</v>
      </c>
      <c r="H96">
        <v>176</v>
      </c>
      <c r="I96">
        <v>5506785</v>
      </c>
      <c r="J96">
        <v>50</v>
      </c>
    </row>
    <row r="97" spans="1:10" x14ac:dyDescent="0.25">
      <c r="A97">
        <v>204</v>
      </c>
      <c r="B97" s="2" t="s">
        <v>325</v>
      </c>
      <c r="C97" s="2" t="s">
        <v>337</v>
      </c>
      <c r="D97">
        <v>4396</v>
      </c>
      <c r="E97" s="2" t="s">
        <v>112</v>
      </c>
      <c r="F97" s="2" t="s">
        <v>213</v>
      </c>
      <c r="G97" s="2" t="s">
        <v>342</v>
      </c>
      <c r="H97">
        <v>613</v>
      </c>
      <c r="I97">
        <v>3773685</v>
      </c>
      <c r="J97">
        <v>9</v>
      </c>
    </row>
    <row r="98" spans="1:10" x14ac:dyDescent="0.25">
      <c r="A98">
        <v>205</v>
      </c>
      <c r="B98" s="2" t="s">
        <v>325</v>
      </c>
      <c r="C98" s="2" t="s">
        <v>341</v>
      </c>
      <c r="D98">
        <v>8417</v>
      </c>
      <c r="E98" s="2" t="s">
        <v>112</v>
      </c>
      <c r="F98" s="2" t="s">
        <v>213</v>
      </c>
      <c r="G98" s="2" t="s">
        <v>335</v>
      </c>
      <c r="H98">
        <v>21</v>
      </c>
      <c r="I98">
        <v>39664617</v>
      </c>
      <c r="J98">
        <v>79</v>
      </c>
    </row>
    <row r="99" spans="1:10" x14ac:dyDescent="0.25">
      <c r="A99">
        <v>208</v>
      </c>
      <c r="B99" s="2" t="s">
        <v>324</v>
      </c>
      <c r="C99" s="2" t="s">
        <v>336</v>
      </c>
      <c r="D99">
        <v>7018</v>
      </c>
      <c r="E99" s="2" t="s">
        <v>112</v>
      </c>
      <c r="F99" s="2" t="s">
        <v>213</v>
      </c>
      <c r="G99" s="2" t="s">
        <v>343</v>
      </c>
      <c r="H99">
        <v>122</v>
      </c>
      <c r="I99">
        <v>44020799</v>
      </c>
      <c r="J99">
        <v>117</v>
      </c>
    </row>
    <row r="100" spans="1:10" x14ac:dyDescent="0.25">
      <c r="A100">
        <v>213</v>
      </c>
      <c r="B100" s="2" t="s">
        <v>325</v>
      </c>
      <c r="C100" s="2" t="s">
        <v>337</v>
      </c>
      <c r="D100">
        <v>6860</v>
      </c>
      <c r="E100" s="2" t="s">
        <v>116</v>
      </c>
      <c r="F100" s="2" t="s">
        <v>213</v>
      </c>
      <c r="G100" s="2" t="s">
        <v>340</v>
      </c>
      <c r="H100">
        <v>446</v>
      </c>
      <c r="I100">
        <v>22110131</v>
      </c>
      <c r="J100">
        <v>79</v>
      </c>
    </row>
    <row r="101" spans="1:10" x14ac:dyDescent="0.25">
      <c r="A101">
        <v>203</v>
      </c>
      <c r="B101" s="2" t="s">
        <v>321</v>
      </c>
      <c r="C101" s="2" t="s">
        <v>334</v>
      </c>
      <c r="D101">
        <v>8886</v>
      </c>
      <c r="E101" s="2" t="s">
        <v>116</v>
      </c>
      <c r="F101" s="2" t="s">
        <v>332</v>
      </c>
      <c r="G101" s="2" t="s">
        <v>333</v>
      </c>
      <c r="H101">
        <v>621</v>
      </c>
      <c r="I101">
        <v>30000000</v>
      </c>
      <c r="J101">
        <v>100</v>
      </c>
    </row>
    <row r="102" spans="1:10" x14ac:dyDescent="0.25">
      <c r="A102">
        <v>204</v>
      </c>
      <c r="B102" s="2" t="s">
        <v>325</v>
      </c>
      <c r="C102" s="2" t="s">
        <v>334</v>
      </c>
      <c r="D102">
        <v>7273</v>
      </c>
      <c r="E102" s="2" t="s">
        <v>112</v>
      </c>
      <c r="F102" s="2" t="s">
        <v>332</v>
      </c>
      <c r="G102" s="2" t="s">
        <v>343</v>
      </c>
      <c r="H102">
        <v>286</v>
      </c>
      <c r="I102">
        <v>46923714</v>
      </c>
      <c r="J102">
        <v>79</v>
      </c>
    </row>
    <row r="103" spans="1:10" x14ac:dyDescent="0.25">
      <c r="A103">
        <v>202</v>
      </c>
      <c r="B103" s="2" t="s">
        <v>324</v>
      </c>
      <c r="C103" s="2" t="s">
        <v>341</v>
      </c>
      <c r="D103">
        <v>8865</v>
      </c>
      <c r="E103" s="2" t="s">
        <v>116</v>
      </c>
      <c r="F103" s="2" t="s">
        <v>213</v>
      </c>
      <c r="G103" s="2" t="s">
        <v>342</v>
      </c>
      <c r="H103">
        <v>292</v>
      </c>
      <c r="I103">
        <v>45521478</v>
      </c>
      <c r="J103">
        <v>100</v>
      </c>
    </row>
    <row r="104" spans="1:10" x14ac:dyDescent="0.25">
      <c r="A104">
        <v>206</v>
      </c>
      <c r="B104" s="2" t="s">
        <v>321</v>
      </c>
      <c r="C104" s="2" t="s">
        <v>337</v>
      </c>
      <c r="D104">
        <v>3976</v>
      </c>
      <c r="E104" s="2" t="s">
        <v>112</v>
      </c>
      <c r="F104" s="2" t="s">
        <v>332</v>
      </c>
      <c r="G104" s="2" t="s">
        <v>342</v>
      </c>
      <c r="H104">
        <v>216</v>
      </c>
      <c r="I104">
        <v>42540499</v>
      </c>
      <c r="J104">
        <v>50</v>
      </c>
    </row>
    <row r="105" spans="1:10" x14ac:dyDescent="0.25">
      <c r="A105">
        <v>214</v>
      </c>
      <c r="B105" s="2" t="s">
        <v>324</v>
      </c>
      <c r="C105" s="2" t="s">
        <v>341</v>
      </c>
      <c r="D105">
        <v>8789</v>
      </c>
      <c r="E105" s="2" t="s">
        <v>116</v>
      </c>
      <c r="F105" s="2" t="s">
        <v>332</v>
      </c>
      <c r="G105" s="2" t="s">
        <v>343</v>
      </c>
      <c r="H105">
        <v>313</v>
      </c>
      <c r="I105">
        <v>40306138</v>
      </c>
      <c r="J105">
        <v>117</v>
      </c>
    </row>
    <row r="106" spans="1:10" x14ac:dyDescent="0.25">
      <c r="A106">
        <v>215</v>
      </c>
      <c r="B106" s="2" t="s">
        <v>323</v>
      </c>
      <c r="C106" s="2" t="s">
        <v>331</v>
      </c>
      <c r="D106">
        <v>2658</v>
      </c>
      <c r="E106" s="2" t="s">
        <v>116</v>
      </c>
      <c r="F106" s="2" t="s">
        <v>213</v>
      </c>
      <c r="G106" s="2" t="s">
        <v>333</v>
      </c>
      <c r="H106">
        <v>41</v>
      </c>
      <c r="I106">
        <v>30000000</v>
      </c>
      <c r="J106">
        <v>1</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65D35-5BDC-4692-92B7-2661E9DF6A02}">
  <dimension ref="A1"/>
  <sheetViews>
    <sheetView showGridLines="0" topLeftCell="B6" workbookViewId="0">
      <selection activeCell="F4" sqref="F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D9FB-533B-447B-9B2F-CD21FC5C9DD0}">
  <dimension ref="A1"/>
  <sheetViews>
    <sheetView showGridLines="0" tabSelected="1" topLeftCell="A4" workbookViewId="0">
      <selection activeCell="R10" sqref="R1:R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45AA9F-CF36-4666-826E-5987E93F22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chat1</vt:lpstr>
      <vt:lpstr>chat2</vt:lpstr>
      <vt:lpstr>chat3</vt:lpstr>
      <vt:lpstr>chat4</vt:lpstr>
      <vt:lpstr>main </vt:lpstr>
      <vt:lpstr>DASHBOARD</vt:lpstr>
      <vt:lpstr>ADS.CONST.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LATITUDE 7290</dc:creator>
  <cp:lastModifiedBy>PRECIOUS FRANK</cp:lastModifiedBy>
  <dcterms:created xsi:type="dcterms:W3CDTF">2025-05-22T17:46:20Z</dcterms:created>
  <dcterms:modified xsi:type="dcterms:W3CDTF">2026-02-28T14:18:35Z</dcterms:modified>
</cp:coreProperties>
</file>